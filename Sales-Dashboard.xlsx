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2c3dd23ea5e011ae/Documents/Power BI Desktop/"/>
    </mc:Choice>
  </mc:AlternateContent>
  <xr:revisionPtr revIDLastSave="1" documentId="8_{DFCE6ECB-B91E-41B0-B3B8-ADEC7D0A879B}" xr6:coauthVersionLast="47" xr6:coauthVersionMax="47" xr10:uidLastSave="{C89CF14F-8831-4ACA-A801-E45C63A2C91C}"/>
  <bookViews>
    <workbookView minimized="1" xWindow="2856" yWindow="3132" windowWidth="17280" windowHeight="8880" xr2:uid="{C0893FBD-34B3-420E-B0D6-EC330180DDEA}"/>
  </bookViews>
  <sheets>
    <sheet name="Dashboard" sheetId="10" r:id="rId1"/>
    <sheet name="Pivot Table" sheetId="6" r:id="rId2"/>
    <sheet name="SalesData" sheetId="3" r:id="rId3"/>
    <sheet name="Sheet5" sheetId="8" r:id="rId4"/>
    <sheet name="Sheet4" sheetId="7" r:id="rId5"/>
    <sheet name="Sheet6" sheetId="9" r:id="rId6"/>
  </sheets>
  <definedNames>
    <definedName name="_xlnm._FilterDatabase" localSheetId="4" hidden="1">Sheet4!$P$1:$P$1</definedName>
    <definedName name="sale_data">Sheet4!$I$15:$I$19</definedName>
    <definedName name="sales_data">Sheet4!$D$9</definedName>
    <definedName name="Slicer_Product">#N/A</definedName>
    <definedName name="Slicer_Region">#N/A</definedName>
    <definedName name="Slicer_Sales_Person">#N/A</definedName>
  </definedNames>
  <calcPr calcId="191029"/>
  <pivotCaches>
    <pivotCache cacheId="4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3" l="1"/>
  <c r="L72" i="7"/>
  <c r="L73" i="7"/>
  <c r="L74" i="7"/>
  <c r="L75" i="7"/>
  <c r="L76" i="7"/>
  <c r="L77" i="7"/>
  <c r="K73" i="7"/>
  <c r="K74" i="7"/>
  <c r="K75" i="7"/>
  <c r="K76" i="7"/>
  <c r="K77" i="7"/>
  <c r="K72" i="7"/>
  <c r="I47" i="7"/>
  <c r="I48" i="7"/>
  <c r="J48" i="7"/>
  <c r="K48" i="7"/>
  <c r="L48" i="7"/>
  <c r="M48" i="7"/>
  <c r="I49" i="7"/>
  <c r="J49" i="7"/>
  <c r="K49" i="7"/>
  <c r="L49" i="7"/>
  <c r="M49" i="7"/>
  <c r="I50" i="7"/>
  <c r="J50" i="7"/>
  <c r="K50" i="7"/>
  <c r="L50" i="7"/>
  <c r="M50" i="7"/>
  <c r="I51" i="7"/>
  <c r="J51" i="7"/>
  <c r="K51" i="7"/>
  <c r="L51" i="7"/>
  <c r="M51" i="7"/>
  <c r="J47" i="7"/>
  <c r="K47" i="7"/>
  <c r="L47" i="7"/>
  <c r="M47" i="7"/>
  <c r="G7" i="9"/>
  <c r="H11" i="9"/>
  <c r="H13" i="9"/>
  <c r="K8" i="3"/>
  <c r="K6" i="3"/>
  <c r="K4" i="3"/>
  <c r="I47" i="3"/>
  <c r="I48" i="3"/>
  <c r="I49" i="3"/>
  <c r="I50" i="3"/>
  <c r="I51"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2" i="3"/>
  <c r="H51" i="3"/>
  <c r="G51" i="3"/>
  <c r="F51" i="3"/>
  <c r="H50" i="3"/>
  <c r="G50" i="3"/>
  <c r="F50" i="3"/>
  <c r="H49" i="3"/>
  <c r="G49" i="3"/>
  <c r="F49" i="3"/>
  <c r="H48" i="3"/>
  <c r="G48" i="3"/>
  <c r="F48" i="3"/>
  <c r="H47" i="3"/>
  <c r="G47" i="3"/>
  <c r="F47" i="3"/>
  <c r="H46" i="3"/>
  <c r="G46" i="3"/>
  <c r="F46" i="3"/>
  <c r="H45" i="3"/>
  <c r="G45" i="3"/>
  <c r="F45" i="3"/>
  <c r="H44" i="3"/>
  <c r="G44" i="3"/>
  <c r="F44" i="3"/>
  <c r="H43" i="3"/>
  <c r="G43" i="3"/>
  <c r="F43" i="3"/>
  <c r="H42" i="3"/>
  <c r="G42" i="3"/>
  <c r="F42" i="3"/>
  <c r="H41" i="3"/>
  <c r="G41" i="3"/>
  <c r="F41" i="3"/>
  <c r="H40" i="3"/>
  <c r="G40" i="3"/>
  <c r="F40" i="3"/>
  <c r="H39" i="3"/>
  <c r="G39" i="3"/>
  <c r="F39" i="3"/>
  <c r="H38" i="3"/>
  <c r="G38" i="3"/>
  <c r="F38" i="3"/>
  <c r="H37" i="3"/>
  <c r="G37" i="3"/>
  <c r="F37" i="3"/>
  <c r="H36" i="3"/>
  <c r="G36" i="3"/>
  <c r="F36" i="3"/>
  <c r="H35" i="3"/>
  <c r="G35" i="3"/>
  <c r="F35" i="3"/>
  <c r="H34" i="3"/>
  <c r="G34" i="3"/>
  <c r="F34" i="3"/>
  <c r="H33" i="3"/>
  <c r="G33" i="3"/>
  <c r="F33" i="3"/>
  <c r="H32" i="3"/>
  <c r="G32" i="3"/>
  <c r="F32" i="3"/>
  <c r="H31" i="3"/>
  <c r="G31" i="3"/>
  <c r="F31" i="3"/>
  <c r="H30" i="3"/>
  <c r="G30" i="3"/>
  <c r="F30" i="3"/>
  <c r="H29" i="3"/>
  <c r="G29" i="3"/>
  <c r="F29" i="3"/>
  <c r="H28" i="3"/>
  <c r="G28" i="3"/>
  <c r="F28" i="3"/>
  <c r="H27" i="3"/>
  <c r="G27" i="3"/>
  <c r="F27" i="3"/>
  <c r="H26" i="3"/>
  <c r="G26" i="3"/>
  <c r="F26" i="3"/>
  <c r="H25" i="3"/>
  <c r="G25" i="3"/>
  <c r="F25" i="3"/>
  <c r="H24" i="3"/>
  <c r="G24" i="3"/>
  <c r="F24" i="3"/>
  <c r="H23" i="3"/>
  <c r="G23" i="3"/>
  <c r="F23" i="3"/>
  <c r="H22" i="3"/>
  <c r="G22" i="3"/>
  <c r="F22" i="3"/>
  <c r="H21" i="3"/>
  <c r="G21" i="3"/>
  <c r="F21" i="3"/>
  <c r="H20" i="3"/>
  <c r="G20" i="3"/>
  <c r="F20" i="3"/>
  <c r="H19" i="3"/>
  <c r="G19" i="3"/>
  <c r="F19" i="3"/>
  <c r="H18" i="3"/>
  <c r="G18" i="3"/>
  <c r="F18" i="3"/>
  <c r="H17" i="3"/>
  <c r="G17" i="3"/>
  <c r="F17" i="3"/>
  <c r="H16" i="3"/>
  <c r="G16" i="3"/>
  <c r="F16" i="3"/>
  <c r="H15" i="3"/>
  <c r="G15" i="3"/>
  <c r="F15" i="3"/>
  <c r="H14" i="3"/>
  <c r="G14" i="3"/>
  <c r="F14" i="3"/>
  <c r="H13" i="3"/>
  <c r="G13" i="3"/>
  <c r="F13" i="3"/>
  <c r="H12" i="3"/>
  <c r="G12" i="3"/>
  <c r="F12" i="3"/>
  <c r="H11" i="3"/>
  <c r="G11" i="3"/>
  <c r="F11" i="3"/>
  <c r="H10" i="3"/>
  <c r="G10" i="3"/>
  <c r="F10" i="3"/>
  <c r="H9" i="3"/>
  <c r="G9" i="3"/>
  <c r="F9" i="3"/>
  <c r="H8" i="3"/>
  <c r="G8" i="3"/>
  <c r="F8" i="3"/>
  <c r="H7" i="3"/>
  <c r="G7" i="3"/>
  <c r="F7" i="3"/>
  <c r="H6" i="3"/>
  <c r="G6" i="3"/>
  <c r="F6" i="3"/>
  <c r="H5" i="3"/>
  <c r="G5" i="3"/>
  <c r="F5" i="3"/>
  <c r="H4" i="3"/>
  <c r="G4" i="3"/>
  <c r="F4" i="3"/>
  <c r="H3" i="3"/>
  <c r="G3" i="3"/>
  <c r="F3" i="3"/>
  <c r="H2" i="3"/>
  <c r="G2" i="3"/>
  <c r="F2" i="3"/>
</calcChain>
</file>

<file path=xl/sharedStrings.xml><?xml version="1.0" encoding="utf-8"?>
<sst xmlns="http://schemas.openxmlformats.org/spreadsheetml/2006/main" count="223" uniqueCount="57">
  <si>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</si>
  <si>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</si>
  <si>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</si>
  <si>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</si>
  <si>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</si>
  <si>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</si>
  <si>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</si>
  <si>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</si>
  <si>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</si>
  <si>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</si>
  <si>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</si>
  <si>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</si>
  <si>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</si>
  <si>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</si>
  <si>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</si>
  <si>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</si>
  <si>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</si>
  <si>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</si>
  <si>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</si>
  <si>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</si>
  <si>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</si>
  <si>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</si>
  <si>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</si>
  <si>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</si>
  <si>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</si>
  <si>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</si>
  <si>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</si>
  <si>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</si>
  <si>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</si>
  <si>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</si>
  <si>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</si>
  <si>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</si>
  <si>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</si>
  <si>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average sales</t>
  </si>
  <si>
    <t>Sum of Total Sales</t>
  </si>
  <si>
    <t>Row Labels</t>
  </si>
  <si>
    <t>Sum of Units Sold</t>
  </si>
  <si>
    <t>dddd</t>
  </si>
  <si>
    <t>fffffffffffffffffff</t>
  </si>
  <si>
    <t xml:space="preserve">                                      </t>
  </si>
  <si>
    <t>life is very short nanba..</t>
  </si>
  <si>
    <t xml:space="preserve">life is  very short nanba </t>
  </si>
  <si>
    <t>workhard and became a leader</t>
  </si>
  <si>
    <t>mixed</t>
  </si>
  <si>
    <t>Product_Id</t>
  </si>
  <si>
    <t>Quantity</t>
  </si>
  <si>
    <t>Rate</t>
  </si>
  <si>
    <t>Amount</t>
  </si>
  <si>
    <t>sales_tax</t>
  </si>
  <si>
    <t>brush</t>
  </si>
  <si>
    <t>paste</t>
  </si>
  <si>
    <t>cup</t>
  </si>
  <si>
    <t>pen</t>
  </si>
  <si>
    <t>towl</t>
  </si>
  <si>
    <t>book</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</si>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</sst>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_ &quot;Rs.&quot;\ * #,##0_ ;_ &quot;Rs.&quot;\ * \-#,##0_ ;_ &quot;Rs.&quot;\ * &quot;-&quot;_ ;_ @_ "/>
    <numFmt numFmtId="165" formatCode="&quot;₹&quot;\ #,##0.00"/>
    <numFmt numFmtId="166" formatCode="&quot;₹&quot;\ #,##0.0000"/>
    <numFmt numFmtId="167" formatCode="_ * #,##0_ ;_ * \-#,##0_ ;_ * &quot;-&quot;??_ ;_ @_ "/>
  </numFmts>
  <fonts count="5" x14ac:knownFonts="1">
    <font>
      <sz val="11"/>
      <color theme="1"/>
      <name val="Aptos Narrow"/>
      <family val="2"/>
      <scheme val="minor"/>
    </font>
    <font>
      <sz val="11"/>
      <color theme="1"/>
      <name val="Aptos Narrow"/>
      <family val="2"/>
      <scheme val="minor"/>
    </font>
    <font>
      <sz val="11"/>
      <color theme="0"/>
      <name val="Aptos Narrow"/>
      <family val="2"/>
      <scheme val="minor"/>
    </font>
    <font>
      <sz val="11"/>
      <color rgb="FFFF0000"/>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5"/>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9">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164" fontId="0" fillId="0" borderId="0" xfId="0" applyNumberFormat="1"/>
    <xf numFmtId="0" fontId="2" fillId="2" borderId="0" xfId="0" applyFont="1" applyFill="1" applyAlignment="1">
      <alignment horizontal="center" vertical="center"/>
    </xf>
    <xf numFmtId="0" fontId="0" fillId="0" borderId="0" xfId="0" pivotButton="1"/>
    <xf numFmtId="14" fontId="0" fillId="0" borderId="0" xfId="0" applyNumberFormat="1"/>
    <xf numFmtId="0" fontId="0" fillId="0" borderId="0" xfId="0" applyAlignment="1">
      <alignment horizontal="center" wrapText="1"/>
    </xf>
    <xf numFmtId="165" fontId="0" fillId="0" borderId="0" xfId="0" applyNumberFormat="1"/>
    <xf numFmtId="166" fontId="0" fillId="0" borderId="0" xfId="0" applyNumberFormat="1"/>
    <xf numFmtId="0" fontId="0" fillId="0" borderId="0" xfId="0" applyAlignment="1">
      <alignment horizontal="center"/>
    </xf>
    <xf numFmtId="0" fontId="3" fillId="3" borderId="0" xfId="0" applyFont="1" applyFill="1"/>
    <xf numFmtId="0" fontId="2" fillId="4" borderId="0" xfId="0" applyFont="1" applyFill="1"/>
    <xf numFmtId="0" fontId="4" fillId="0" borderId="0" xfId="0" applyFont="1"/>
    <xf numFmtId="9" fontId="0" fillId="0" borderId="0" xfId="0" applyNumberFormat="1"/>
    <xf numFmtId="167" fontId="0" fillId="0" borderId="0" xfId="2" applyNumberFormat="1" applyFont="1"/>
    <xf numFmtId="0" fontId="0" fillId="0" borderId="0" xfId="0" applyAlignment="1">
      <alignment horizontal="center"/>
    </xf>
  </cellXfs>
  <cellStyles count="3">
    <cellStyle name="Comma" xfId="2" builtinId="3"/>
    <cellStyle name="Currency [0]" xfId="1" builtinId="7"/>
    <cellStyle name="Normal" xfId="0" builtinId="0"/>
  </cellStyles>
  <dxfs count="9">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border outline="0">
        <bottom style="thick">
          <color rgb="FFFFC000"/>
        </bottom>
      </border>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Table!PivotTable13</c:name>
    <c:fmtId val="24"/>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diamond"/>
          <c:size val="8"/>
          <c:spPr>
            <a:solidFill>
              <a:schemeClr val="tx2"/>
            </a:solidFill>
            <a:ln w="22225">
              <a:solidFill>
                <a:schemeClr val="tx2">
                  <a:alpha val="6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diamond"/>
          <c:size val="8"/>
          <c:spPr>
            <a:solidFill>
              <a:schemeClr val="tx2"/>
            </a:solidFill>
            <a:ln w="22225">
              <a:solidFill>
                <a:schemeClr val="tx2">
                  <a:alpha val="6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diamond"/>
          <c:size val="8"/>
          <c:spPr>
            <a:solidFill>
              <a:schemeClr val="tx2"/>
            </a:solidFill>
            <a:ln w="22225">
              <a:solidFill>
                <a:schemeClr val="tx2">
                  <a:alpha val="66000"/>
                </a:schemeClr>
              </a:solidFill>
              <a:round/>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11126364201043E-2"/>
          <c:y val="9.3147935491709896E-2"/>
          <c:w val="0.86653018372703416"/>
          <c:h val="0.80521713028549258"/>
        </c:manualLayout>
      </c:layout>
      <c:lineChart>
        <c:grouping val="standard"/>
        <c:varyColors val="0"/>
        <c:ser>
          <c:idx val="0"/>
          <c:order val="0"/>
          <c:tx>
            <c:strRef>
              <c:f>'Pivot Table'!$N$3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diamond"/>
            <c:size val="8"/>
            <c:spPr>
              <a:solidFill>
                <a:schemeClr val="tx2"/>
              </a:solidFill>
              <a:ln w="22225">
                <a:solidFill>
                  <a:schemeClr val="tx2">
                    <a:alpha val="66000"/>
                  </a:schemeClr>
                </a:solidFill>
                <a:round/>
              </a:ln>
              <a:effectLst/>
            </c:spPr>
          </c:marker>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Table'!$M$4:$M$11</c:f>
              <c:strCache>
                <c:ptCount val="7"/>
                <c:pt idx="0">
                  <c:v>Action Figure</c:v>
                </c:pt>
                <c:pt idx="1">
                  <c:v>Blender</c:v>
                </c:pt>
                <c:pt idx="2">
                  <c:v>Moisturizer</c:v>
                </c:pt>
                <c:pt idx="3">
                  <c:v>Novel</c:v>
                </c:pt>
                <c:pt idx="4">
                  <c:v>Smartphone</c:v>
                </c:pt>
                <c:pt idx="5">
                  <c:v>Sneakers</c:v>
                </c:pt>
                <c:pt idx="6">
                  <c:v>Tent</c:v>
                </c:pt>
              </c:strCache>
            </c:strRef>
          </c:cat>
          <c:val>
            <c:numRef>
              <c:f>'Pivot Table'!$N$4:$N$11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BACA-4ECA-9E79-F02D9D8C10BF}"/>
            </c:ext>
          </c:extLst>
        </c:ser>
        <c:dLbls>
          <c:dLblPos val="t"/>
          <c:showLegendKey val="0"/>
          <c:showVal val="1"/>
          <c:showCatName val="0"/>
          <c:showSerName val="0"/>
          <c:showPercent val="0"/>
          <c:showBubbleSize val="0"/>
        </c:dLbls>
        <c:dropLines>
          <c:spPr>
            <a:ln w="28575" cap="flat" cmpd="sng" algn="ctr">
              <a:solidFill>
                <a:schemeClr val="tx2"/>
              </a:solidFill>
              <a:round/>
            </a:ln>
            <a:effectLst/>
          </c:spPr>
        </c:dropLines>
        <c:marker val="1"/>
        <c:smooth val="0"/>
        <c:axId val="1906954751"/>
        <c:axId val="1906951871"/>
      </c:lineChart>
      <c:catAx>
        <c:axId val="1906954751"/>
        <c:scaling>
          <c:orientation val="minMax"/>
        </c:scaling>
        <c:delete val="0"/>
        <c:axPos val="b"/>
        <c:numFmt formatCode="General" sourceLinked="1"/>
        <c:majorTickMark val="none"/>
        <c:minorTickMark val="none"/>
        <c:tickLblPos val="nextTo"/>
        <c:spPr>
          <a:solidFill>
            <a:schemeClr val="tx1">
              <a:lumMod val="65000"/>
              <a:lumOff val="35000"/>
            </a:schemeClr>
          </a:solidFill>
          <a:ln w="12700" cap="flat" cmpd="sng" algn="ctr">
            <a:solidFill>
              <a:schemeClr val="lt1"/>
            </a:solidFill>
            <a:round/>
          </a:ln>
          <a:effectLst/>
        </c:spPr>
        <c:txPr>
          <a:bodyPr rot="0" spcFirstLastPara="1" vertOverflow="ellipsis" wrap="square" anchor="ctr" anchorCtr="1"/>
          <a:lstStyle/>
          <a:p>
            <a:pPr>
              <a:defRPr sz="900" b="0" i="0" u="none" strike="noStrike" kern="1200" spc="100" baseline="0">
                <a:solidFill>
                  <a:schemeClr val="lt1"/>
                </a:solidFill>
                <a:latin typeface="+mn-lt"/>
                <a:ea typeface="+mn-ea"/>
                <a:cs typeface="+mn-cs"/>
              </a:defRPr>
            </a:pPr>
            <a:endParaRPr lang="en-US"/>
          </a:p>
        </c:txPr>
        <c:crossAx val="1906951871"/>
        <c:crosses val="autoZero"/>
        <c:auto val="1"/>
        <c:lblAlgn val="ctr"/>
        <c:lblOffset val="100"/>
        <c:noMultiLvlLbl val="0"/>
      </c:catAx>
      <c:valAx>
        <c:axId val="1906951871"/>
        <c:scaling>
          <c:orientation val="minMax"/>
        </c:scaling>
        <c:delete val="1"/>
        <c:axPos val="l"/>
        <c:numFmt formatCode="General" sourceLinked="1"/>
        <c:majorTickMark val="none"/>
        <c:minorTickMark val="none"/>
        <c:tickLblPos val="nextTo"/>
        <c:crossAx val="190695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7499999999999999"/>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1276846184668094"/>
              <c:y val="-6.480815327897927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56470147113966"/>
                  <c:h val="5.5499251913899116E-2"/>
                </c:manualLayout>
              </c15:layout>
            </c:ext>
          </c:extLst>
        </c:dLbl>
      </c:pivotFmt>
      <c:pivotFmt>
        <c:idx val="3"/>
        <c:spPr>
          <a:solidFill>
            <a:schemeClr val="accent4"/>
          </a:solidFill>
          <a:ln w="19050">
            <a:solidFill>
              <a:schemeClr val="lt1"/>
            </a:solidFill>
          </a:ln>
          <a:effectLst/>
        </c:spPr>
        <c:dLbl>
          <c:idx val="0"/>
          <c:layout>
            <c:manualLayout>
              <c:x val="-0.1611111111111111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1722222222222222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1276846184668094"/>
              <c:y val="-6.480815327897927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56470147113966"/>
                  <c:h val="5.5499251913899116E-2"/>
                </c:manualLayout>
              </c15:layout>
            </c:ext>
          </c:extLst>
        </c:dLbl>
      </c:pivotFmt>
      <c:pivotFmt>
        <c:idx val="7"/>
        <c:spPr>
          <a:solidFill>
            <a:schemeClr val="accent1"/>
          </a:solidFill>
          <a:ln w="19050">
            <a:solidFill>
              <a:schemeClr val="lt1"/>
            </a:solidFill>
          </a:ln>
          <a:effectLst/>
        </c:spPr>
        <c:dLbl>
          <c:idx val="0"/>
          <c:layout>
            <c:manualLayout>
              <c:x val="0.17499999999999999"/>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22222222222222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11111111111111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1276846184668094"/>
              <c:y val="-6.480815327897927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56470147113966"/>
                  <c:h val="5.5499251913899116E-2"/>
                </c:manualLayout>
              </c15:layout>
            </c:ext>
          </c:extLst>
        </c:dLbl>
      </c:pivotFmt>
      <c:pivotFmt>
        <c:idx val="14"/>
        <c:spPr>
          <a:solidFill>
            <a:schemeClr val="accent1"/>
          </a:solidFill>
          <a:ln w="19050">
            <a:solidFill>
              <a:schemeClr val="lt1"/>
            </a:solidFill>
          </a:ln>
          <a:effectLst/>
        </c:spPr>
        <c:dLbl>
          <c:idx val="0"/>
          <c:layout>
            <c:manualLayout>
              <c:x val="0.17499999999999999"/>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722222222222222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611111111111111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51-4306-AF4F-37C5B5BB1E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51-4306-AF4F-37C5B5BB1E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51-4306-AF4F-37C5B5BB1E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51-4306-AF4F-37C5B5BB1E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51-4306-AF4F-37C5B5BB1E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E51-4306-AF4F-37C5B5BB1E92}"/>
              </c:ext>
            </c:extLst>
          </c:dPt>
          <c:dLbls>
            <c:dLbl>
              <c:idx val="0"/>
              <c:layout>
                <c:manualLayout>
                  <c:x val="0.21276846184668094"/>
                  <c:y val="-6.480815327897927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56470147113966"/>
                      <c:h val="5.5499251913899116E-2"/>
                    </c:manualLayout>
                  </c15:layout>
                </c:ext>
                <c:ext xmlns:c16="http://schemas.microsoft.com/office/drawing/2014/chart" uri="{C3380CC4-5D6E-409C-BE32-E72D297353CC}">
                  <c16:uniqueId val="{00000001-2E51-4306-AF4F-37C5B5BB1E9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Table'!$A$4:$A$5</c:f>
              <c:strCache>
                <c:ptCount val="1"/>
                <c:pt idx="0">
                  <c:v>East</c:v>
                </c:pt>
              </c:strCache>
            </c:strRef>
          </c:cat>
          <c:val>
            <c:numRef>
              <c:f>'Pivot Table'!$B$4:$B$5</c:f>
              <c:numCache>
                <c:formatCode>_ "Rs."\ * #,##0_ ;_ "Rs."\ * \-#,##0_ ;_ "Rs."\ * "-"_ ;_ @_ </c:formatCode>
                <c:ptCount val="1"/>
                <c:pt idx="0">
                  <c:v>3534400</c:v>
                </c:pt>
              </c:numCache>
            </c:numRef>
          </c:val>
          <c:extLst>
            <c:ext xmlns:c16="http://schemas.microsoft.com/office/drawing/2014/chart" uri="{C3380CC4-5D6E-409C-BE32-E72D297353CC}">
              <c16:uniqueId val="{0000000C-2E51-4306-AF4F-37C5B5BB1E9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1216407355021297E-2"/>
              <c:y val="-4.714757190004722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588850898588173"/>
                  <c:h val="0.15432588253201024"/>
                </c:manualLayout>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1216407355021297E-2"/>
              <c:y val="-4.714757190004722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588850898588173"/>
                  <c:h val="0.15432588253201024"/>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1216407355021297E-2"/>
              <c:y val="-4.714757190004722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588850898588173"/>
                  <c:h val="0.15432588253201024"/>
                </c:manualLayout>
              </c15:layout>
            </c:ext>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dPt>
            <c:idx val="6"/>
            <c:invertIfNegative val="0"/>
            <c:bubble3D val="0"/>
            <c:extLst>
              <c:ext xmlns:c16="http://schemas.microsoft.com/office/drawing/2014/chart" uri="{C3380CC4-5D6E-409C-BE32-E72D297353CC}">
                <c16:uniqueId val="{00000000-A8EE-4DD6-80E4-54D4C2B969A5}"/>
              </c:ext>
            </c:extLst>
          </c:dPt>
          <c:dLbls>
            <c:dLbl>
              <c:idx val="6"/>
              <c:layout>
                <c:manualLayout>
                  <c:x val="-2.1216407355021297E-2"/>
                  <c:y val="-4.714757190004722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588850898588173"/>
                      <c:h val="0.15432588253201024"/>
                    </c:manualLayout>
                  </c15:layout>
                </c:ext>
                <c:ext xmlns:c16="http://schemas.microsoft.com/office/drawing/2014/chart" uri="{C3380CC4-5D6E-409C-BE32-E72D297353CC}">
                  <c16:uniqueId val="{00000000-A8EE-4DD6-80E4-54D4C2B969A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Table'!$E$4:$E$11</c:f>
              <c:strCache>
                <c:ptCount val="7"/>
                <c:pt idx="0">
                  <c:v>Action Figure</c:v>
                </c:pt>
                <c:pt idx="1">
                  <c:v>Blender</c:v>
                </c:pt>
                <c:pt idx="2">
                  <c:v>Moisturizer</c:v>
                </c:pt>
                <c:pt idx="3">
                  <c:v>Novel</c:v>
                </c:pt>
                <c:pt idx="4">
                  <c:v>Smartphone</c:v>
                </c:pt>
                <c:pt idx="5">
                  <c:v>Sneakers</c:v>
                </c:pt>
                <c:pt idx="6">
                  <c:v>Tent</c:v>
                </c:pt>
              </c:strCache>
            </c:strRef>
          </c:cat>
          <c:val>
            <c:numRef>
              <c:f>'Pivot Table'!$F$4:$F$11</c:f>
              <c:numCache>
                <c:formatCode>_ "Rs."\ * #,##0_ ;_ "Rs."\ * \-#,##0_ ;_ "Rs."\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1-A8EE-4DD6-80E4-54D4C2B969A5}"/>
            </c:ext>
          </c:extLst>
        </c:ser>
        <c:dLbls>
          <c:showLegendKey val="0"/>
          <c:showVal val="0"/>
          <c:showCatName val="0"/>
          <c:showSerName val="0"/>
          <c:showPercent val="0"/>
          <c:showBubbleSize val="0"/>
        </c:dLbls>
        <c:gapWidth val="56"/>
        <c:axId val="1794194175"/>
        <c:axId val="1794198015"/>
      </c:barChart>
      <c:catAx>
        <c:axId val="179419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198015"/>
        <c:crosses val="autoZero"/>
        <c:auto val="1"/>
        <c:lblAlgn val="ctr"/>
        <c:lblOffset val="100"/>
        <c:noMultiLvlLbl val="0"/>
      </c:catAx>
      <c:valAx>
        <c:axId val="1794198015"/>
        <c:scaling>
          <c:orientation val="minMax"/>
        </c:scaling>
        <c:delete val="1"/>
        <c:axPos val="b"/>
        <c:numFmt formatCode="_ &quot;Rs.&quot;\ * #,##0_ ;_ &quot;Rs.&quot;\ * \-#,##0_ ;_ &quot;Rs.&quot;\ * &quot;-&quot;_ ;_ @_ " sourceLinked="1"/>
        <c:majorTickMark val="out"/>
        <c:minorTickMark val="none"/>
        <c:tickLblPos val="nextTo"/>
        <c:crossAx val="179419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Table!PivotTable12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19444444444442"/>
                  <c:h val="5.5486293379994167E-2"/>
                </c:manualLayout>
              </c15:layout>
            </c:ext>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0833333333333"/>
                  <c:h val="6.4745552639253412E-2"/>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19444444444442"/>
                  <c:h val="5.5486293379994167E-2"/>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0833333333333"/>
                  <c:h val="6.4745552639253412E-2"/>
                </c:manualLayout>
              </c15:layout>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19444444444442"/>
                  <c:h val="5.5486293379994167E-2"/>
                </c:manualLayout>
              </c15:layout>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0833333333333"/>
                  <c:h val="6.4745552639253412E-2"/>
                </c:manualLayout>
              </c15:layout>
            </c:ext>
          </c:extLst>
        </c:dLbl>
      </c:pivotFmt>
    </c:pivotFmts>
    <c:plotArea>
      <c:layout/>
      <c:barChart>
        <c:barDir val="col"/>
        <c:grouping val="clustered"/>
        <c:varyColors val="0"/>
        <c:ser>
          <c:idx val="0"/>
          <c:order val="0"/>
          <c:tx>
            <c:strRef>
              <c:f>'Pivot Table'!$J$3</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0-4620-48AC-9163-0C0A1AB5D0E0}"/>
              </c:ext>
            </c:extLst>
          </c:dPt>
          <c:dPt>
            <c:idx val="4"/>
            <c:invertIfNegative val="0"/>
            <c:bubble3D val="0"/>
            <c:extLst>
              <c:ext xmlns:c16="http://schemas.microsoft.com/office/drawing/2014/chart" uri="{C3380CC4-5D6E-409C-BE32-E72D297353CC}">
                <c16:uniqueId val="{00000001-4620-48AC-9163-0C0A1AB5D0E0}"/>
              </c:ext>
            </c:extLst>
          </c:dPt>
          <c:dLbls>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19444444444442"/>
                      <c:h val="5.5486293379994167E-2"/>
                    </c:manualLayout>
                  </c15:layout>
                </c:ext>
                <c:ext xmlns:c16="http://schemas.microsoft.com/office/drawing/2014/chart" uri="{C3380CC4-5D6E-409C-BE32-E72D297353CC}">
                  <c16:uniqueId val="{00000000-4620-48AC-9163-0C0A1AB5D0E0}"/>
                </c:ext>
              </c:extLst>
            </c:dLbl>
            <c:dLbl>
              <c:idx val="4"/>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0833333333333"/>
                      <c:h val="6.4745552639253412E-2"/>
                    </c:manualLayout>
                  </c15:layout>
                </c:ext>
                <c:ext xmlns:c16="http://schemas.microsoft.com/office/drawing/2014/chart" uri="{C3380CC4-5D6E-409C-BE32-E72D297353CC}">
                  <c16:uniqueId val="{00000001-4620-48AC-9163-0C0A1AB5D0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Table'!$J$4:$J$14</c:f>
              <c:numCache>
                <c:formatCode>_ "Rs."\ * #,##0_ ;_ "Rs."\ * \-#,##0_ ;_ "Rs."\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2-4620-48AC-9163-0C0A1AB5D0E0}"/>
            </c:ext>
          </c:extLst>
        </c:ser>
        <c:dLbls>
          <c:showLegendKey val="0"/>
          <c:showVal val="0"/>
          <c:showCatName val="0"/>
          <c:showSerName val="0"/>
          <c:showPercent val="0"/>
          <c:showBubbleSize val="0"/>
        </c:dLbls>
        <c:gapWidth val="75"/>
        <c:overlap val="-27"/>
        <c:axId val="1797649183"/>
        <c:axId val="1797662623"/>
      </c:barChart>
      <c:catAx>
        <c:axId val="1797649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97662623"/>
        <c:crosses val="autoZero"/>
        <c:auto val="1"/>
        <c:lblAlgn val="ctr"/>
        <c:lblOffset val="100"/>
        <c:noMultiLvlLbl val="0"/>
      </c:catAx>
      <c:valAx>
        <c:axId val="1797662623"/>
        <c:scaling>
          <c:orientation val="minMax"/>
        </c:scaling>
        <c:delete val="1"/>
        <c:axPos val="l"/>
        <c:numFmt formatCode="_ &quot;Rs.&quot;\ * #,##0_ ;_ &quot;Rs.&quot;\ * \-#,##0_ ;_ &quot;Rs.&quot;\ * &quot;-&quot;_ ;_ @_ " sourceLinked="1"/>
        <c:majorTickMark val="none"/>
        <c:minorTickMark val="none"/>
        <c:tickLblPos val="nextTo"/>
        <c:crossAx val="179764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7499999999999999"/>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1276846184668094"/>
              <c:y val="-6.480815327897927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56470147113966"/>
                  <c:h val="5.5499251913899116E-2"/>
                </c:manualLayout>
              </c15:layout>
            </c:ext>
          </c:extLst>
        </c:dLbl>
      </c:pivotFmt>
      <c:pivotFmt>
        <c:idx val="3"/>
        <c:dLbl>
          <c:idx val="0"/>
          <c:layout>
            <c:manualLayout>
              <c:x val="-0.1611111111111111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722222222222222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6FF5-41C7-8FF6-93C7DBAE7A6D}"/>
              </c:ext>
            </c:extLst>
          </c:dPt>
          <c:dLbls>
            <c:dLbl>
              <c:idx val="0"/>
              <c:layout>
                <c:manualLayout>
                  <c:x val="0.21276846184668094"/>
                  <c:y val="-6.480815327897927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56470147113966"/>
                      <c:h val="5.5499251913899116E-2"/>
                    </c:manualLayout>
                  </c15:layout>
                </c:ext>
                <c:ext xmlns:c16="http://schemas.microsoft.com/office/drawing/2014/chart" uri="{C3380CC4-5D6E-409C-BE32-E72D297353CC}">
                  <c16:uniqueId val="{00000003-6FF5-41C7-8FF6-93C7DBAE7A6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Table'!$A$4:$A$5</c:f>
              <c:strCache>
                <c:ptCount val="1"/>
                <c:pt idx="0">
                  <c:v>East</c:v>
                </c:pt>
              </c:strCache>
            </c:strRef>
          </c:cat>
          <c:val>
            <c:numRef>
              <c:f>'Pivot Table'!$B$4:$B$5</c:f>
              <c:numCache>
                <c:formatCode>_ "Rs."\ * #,##0_ ;_ "Rs."\ * \-#,##0_ ;_ "Rs."\ * "-"_ ;_ @_ </c:formatCode>
                <c:ptCount val="1"/>
                <c:pt idx="0">
                  <c:v>3534400</c:v>
                </c:pt>
              </c:numCache>
            </c:numRef>
          </c:val>
          <c:extLst>
            <c:ext xmlns:c16="http://schemas.microsoft.com/office/drawing/2014/chart" uri="{C3380CC4-5D6E-409C-BE32-E72D297353CC}">
              <c16:uniqueId val="{00000000-6FF5-41C7-8FF6-93C7DBAE7A6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1216407355021297E-2"/>
              <c:y val="-4.714757190004722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588850898588173"/>
                  <c:h val="0.15432588253201024"/>
                </c:manualLayout>
              </c15:layout>
            </c:ext>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dPt>
            <c:idx val="6"/>
            <c:invertIfNegative val="0"/>
            <c:bubble3D val="0"/>
            <c:extLst>
              <c:ext xmlns:c16="http://schemas.microsoft.com/office/drawing/2014/chart" uri="{C3380CC4-5D6E-409C-BE32-E72D297353CC}">
                <c16:uniqueId val="{00000002-69F0-4529-BE64-5E0CEF89A74B}"/>
              </c:ext>
            </c:extLst>
          </c:dPt>
          <c:dLbls>
            <c:dLbl>
              <c:idx val="6"/>
              <c:layout>
                <c:manualLayout>
                  <c:x val="-2.1216407355021297E-2"/>
                  <c:y val="-4.714757190004722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588850898588173"/>
                      <c:h val="0.15432588253201024"/>
                    </c:manualLayout>
                  </c15:layout>
                </c:ext>
                <c:ext xmlns:c16="http://schemas.microsoft.com/office/drawing/2014/chart" uri="{C3380CC4-5D6E-409C-BE32-E72D297353CC}">
                  <c16:uniqueId val="{00000002-69F0-4529-BE64-5E0CEF89A74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Table'!$E$4:$E$11</c:f>
              <c:strCache>
                <c:ptCount val="7"/>
                <c:pt idx="0">
                  <c:v>Action Figure</c:v>
                </c:pt>
                <c:pt idx="1">
                  <c:v>Blender</c:v>
                </c:pt>
                <c:pt idx="2">
                  <c:v>Moisturizer</c:v>
                </c:pt>
                <c:pt idx="3">
                  <c:v>Novel</c:v>
                </c:pt>
                <c:pt idx="4">
                  <c:v>Smartphone</c:v>
                </c:pt>
                <c:pt idx="5">
                  <c:v>Sneakers</c:v>
                </c:pt>
                <c:pt idx="6">
                  <c:v>Tent</c:v>
                </c:pt>
              </c:strCache>
            </c:strRef>
          </c:cat>
          <c:val>
            <c:numRef>
              <c:f>'Pivot Table'!$F$4:$F$11</c:f>
              <c:numCache>
                <c:formatCode>_ "Rs."\ * #,##0_ ;_ "Rs."\ * \-#,##0_ ;_ "Rs."\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69F0-4529-BE64-5E0CEF89A74B}"/>
            </c:ext>
          </c:extLst>
        </c:ser>
        <c:dLbls>
          <c:showLegendKey val="0"/>
          <c:showVal val="0"/>
          <c:showCatName val="0"/>
          <c:showSerName val="0"/>
          <c:showPercent val="0"/>
          <c:showBubbleSize val="0"/>
        </c:dLbls>
        <c:gapWidth val="56"/>
        <c:axId val="1794194175"/>
        <c:axId val="1794198015"/>
      </c:barChart>
      <c:catAx>
        <c:axId val="179419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198015"/>
        <c:crosses val="autoZero"/>
        <c:auto val="1"/>
        <c:lblAlgn val="ctr"/>
        <c:lblOffset val="100"/>
        <c:noMultiLvlLbl val="0"/>
      </c:catAx>
      <c:valAx>
        <c:axId val="1794198015"/>
        <c:scaling>
          <c:orientation val="minMax"/>
        </c:scaling>
        <c:delete val="1"/>
        <c:axPos val="b"/>
        <c:numFmt formatCode="_ &quot;Rs.&quot;\ * #,##0_ ;_ &quot;Rs.&quot;\ * \-#,##0_ ;_ &quot;Rs.&quot;\ * &quot;-&quot;_ ;_ @_ " sourceLinked="1"/>
        <c:majorTickMark val="out"/>
        <c:minorTickMark val="none"/>
        <c:tickLblPos val="nextTo"/>
        <c:crossAx val="179419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Table!PivotTable12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19444444444442"/>
                  <c:h val="5.5486293379994167E-2"/>
                </c:manualLayout>
              </c15:layout>
            </c:ext>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0833333333333"/>
                  <c:h val="6.4745552639253412E-2"/>
                </c:manualLayout>
              </c15:layout>
            </c:ext>
          </c:extLst>
        </c:dLbl>
      </c:pivotFmt>
    </c:pivotFmts>
    <c:plotArea>
      <c:layout/>
      <c:barChart>
        <c:barDir val="col"/>
        <c:grouping val="clustered"/>
        <c:varyColors val="0"/>
        <c:ser>
          <c:idx val="0"/>
          <c:order val="0"/>
          <c:tx>
            <c:strRef>
              <c:f>'Pivot Table'!$J$3</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3-9A1E-4ADA-81AD-9A7888763CF0}"/>
              </c:ext>
            </c:extLst>
          </c:dPt>
          <c:dPt>
            <c:idx val="4"/>
            <c:invertIfNegative val="0"/>
            <c:bubble3D val="0"/>
            <c:extLst>
              <c:ext xmlns:c16="http://schemas.microsoft.com/office/drawing/2014/chart" uri="{C3380CC4-5D6E-409C-BE32-E72D297353CC}">
                <c16:uniqueId val="{00000004-9A1E-4ADA-81AD-9A7888763CF0}"/>
              </c:ext>
            </c:extLst>
          </c:dPt>
          <c:dLbls>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19444444444442"/>
                      <c:h val="5.5486293379994167E-2"/>
                    </c:manualLayout>
                  </c15:layout>
                </c:ext>
                <c:ext xmlns:c16="http://schemas.microsoft.com/office/drawing/2014/chart" uri="{C3380CC4-5D6E-409C-BE32-E72D297353CC}">
                  <c16:uniqueId val="{00000003-9A1E-4ADA-81AD-9A7888763CF0}"/>
                </c:ext>
              </c:extLst>
            </c:dLbl>
            <c:dLbl>
              <c:idx val="4"/>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0833333333333"/>
                      <c:h val="6.4745552639253412E-2"/>
                    </c:manualLayout>
                  </c15:layout>
                </c:ext>
                <c:ext xmlns:c16="http://schemas.microsoft.com/office/drawing/2014/chart" uri="{C3380CC4-5D6E-409C-BE32-E72D297353CC}">
                  <c16:uniqueId val="{00000004-9A1E-4ADA-81AD-9A7888763CF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Table'!$J$4:$J$14</c:f>
              <c:numCache>
                <c:formatCode>_ "Rs."\ * #,##0_ ;_ "Rs."\ * \-#,##0_ ;_ "Rs."\ * "-"_ ;_ @_ </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9A1E-4ADA-81AD-9A7888763CF0}"/>
            </c:ext>
          </c:extLst>
        </c:ser>
        <c:dLbls>
          <c:showLegendKey val="0"/>
          <c:showVal val="0"/>
          <c:showCatName val="0"/>
          <c:showSerName val="0"/>
          <c:showPercent val="0"/>
          <c:showBubbleSize val="0"/>
        </c:dLbls>
        <c:gapWidth val="75"/>
        <c:overlap val="-27"/>
        <c:axId val="1797649183"/>
        <c:axId val="1797662623"/>
      </c:barChart>
      <c:catAx>
        <c:axId val="1797649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662623"/>
        <c:crosses val="autoZero"/>
        <c:auto val="1"/>
        <c:lblAlgn val="ctr"/>
        <c:lblOffset val="100"/>
        <c:noMultiLvlLbl val="0"/>
      </c:catAx>
      <c:valAx>
        <c:axId val="1797662623"/>
        <c:scaling>
          <c:orientation val="minMax"/>
        </c:scaling>
        <c:delete val="1"/>
        <c:axPos val="l"/>
        <c:numFmt formatCode="_ &quot;Rs.&quot;\ * #,##0_ ;_ &quot;Rs.&quot;\ * \-#,##0_ ;_ &quot;Rs.&quot;\ * &quot;-&quot;_ ;_ @_ " sourceLinked="1"/>
        <c:majorTickMark val="none"/>
        <c:minorTickMark val="none"/>
        <c:tickLblPos val="nextTo"/>
        <c:crossAx val="179764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Table!PivotTable13</c:name>
    <c:fmtId val="12"/>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diamond"/>
          <c:size val="8"/>
          <c:spPr>
            <a:solidFill>
              <a:schemeClr val="tx2"/>
            </a:solidFill>
            <a:ln w="22225">
              <a:solidFill>
                <a:schemeClr val="tx2">
                  <a:alpha val="6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25371828521438E-2"/>
          <c:y val="0.11055103467715072"/>
          <c:w val="0.86653018372703416"/>
          <c:h val="0.80521713028549258"/>
        </c:manualLayout>
      </c:layout>
      <c:lineChart>
        <c:grouping val="standard"/>
        <c:varyColors val="0"/>
        <c:ser>
          <c:idx val="0"/>
          <c:order val="0"/>
          <c:tx>
            <c:strRef>
              <c:f>'Pivot Table'!$N$3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diamond"/>
            <c:size val="8"/>
            <c:spPr>
              <a:solidFill>
                <a:schemeClr val="tx2"/>
              </a:solidFill>
              <a:ln w="22225">
                <a:solidFill>
                  <a:schemeClr val="tx2">
                    <a:alpha val="66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Table'!$M$4:$M$11</c:f>
              <c:strCache>
                <c:ptCount val="7"/>
                <c:pt idx="0">
                  <c:v>Action Figure</c:v>
                </c:pt>
                <c:pt idx="1">
                  <c:v>Blender</c:v>
                </c:pt>
                <c:pt idx="2">
                  <c:v>Moisturizer</c:v>
                </c:pt>
                <c:pt idx="3">
                  <c:v>Novel</c:v>
                </c:pt>
                <c:pt idx="4">
                  <c:v>Smartphone</c:v>
                </c:pt>
                <c:pt idx="5">
                  <c:v>Sneakers</c:v>
                </c:pt>
                <c:pt idx="6">
                  <c:v>Tent</c:v>
                </c:pt>
              </c:strCache>
            </c:strRef>
          </c:cat>
          <c:val>
            <c:numRef>
              <c:f>'Pivot Table'!$N$4:$N$11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B11B-4130-98FD-1779D9DE7FA1}"/>
            </c:ext>
          </c:extLst>
        </c:ser>
        <c:dLbls>
          <c:dLblPos val="t"/>
          <c:showLegendKey val="0"/>
          <c:showVal val="1"/>
          <c:showCatName val="0"/>
          <c:showSerName val="0"/>
          <c:showPercent val="0"/>
          <c:showBubbleSize val="0"/>
        </c:dLbls>
        <c:dropLines>
          <c:spPr>
            <a:ln w="28575" cap="flat" cmpd="sng" algn="ctr">
              <a:solidFill>
                <a:schemeClr val="tx2"/>
              </a:solidFill>
              <a:round/>
            </a:ln>
            <a:effectLst/>
          </c:spPr>
        </c:dropLines>
        <c:marker val="1"/>
        <c:smooth val="0"/>
        <c:axId val="1906954751"/>
        <c:axId val="1906951871"/>
      </c:lineChart>
      <c:catAx>
        <c:axId val="1906954751"/>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06951871"/>
        <c:crosses val="autoZero"/>
        <c:auto val="1"/>
        <c:lblAlgn val="ctr"/>
        <c:lblOffset val="100"/>
        <c:noMultiLvlLbl val="0"/>
      </c:catAx>
      <c:valAx>
        <c:axId val="1906951871"/>
        <c:scaling>
          <c:orientation val="minMax"/>
        </c:scaling>
        <c:delete val="1"/>
        <c:axPos val="l"/>
        <c:numFmt formatCode="General" sourceLinked="1"/>
        <c:majorTickMark val="none"/>
        <c:minorTickMark val="none"/>
        <c:tickLblPos val="nextTo"/>
        <c:crossAx val="190695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408000</xdr:colOff>
      <xdr:row>4</xdr:row>
      <xdr:rowOff>129540</xdr:rowOff>
    </xdr:to>
    <xdr:sp macro="" textlink="">
      <xdr:nvSpPr>
        <xdr:cNvPr id="2" name="Rectangle: Rounded Corners 1">
          <a:extLst>
            <a:ext uri="{FF2B5EF4-FFF2-40B4-BE49-F238E27FC236}">
              <a16:creationId xmlns:a16="http://schemas.microsoft.com/office/drawing/2014/main" id="{D6A45924-2C2E-CB06-E6B4-C885F48778BA}"/>
            </a:ext>
          </a:extLst>
        </xdr:cNvPr>
        <xdr:cNvSpPr/>
      </xdr:nvSpPr>
      <xdr:spPr>
        <a:xfrm>
          <a:off x="0" y="0"/>
          <a:ext cx="12624190" cy="85525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0</xdr:col>
      <xdr:colOff>0</xdr:colOff>
      <xdr:row>5</xdr:row>
      <xdr:rowOff>144519</xdr:rowOff>
    </xdr:from>
    <xdr:to>
      <xdr:col>3</xdr:col>
      <xdr:colOff>523020</xdr:colOff>
      <xdr:row>10</xdr:row>
      <xdr:rowOff>160020</xdr:rowOff>
    </xdr:to>
    <xdr:sp macro="" textlink="">
      <xdr:nvSpPr>
        <xdr:cNvPr id="3" name="Rectangle: Rounded Corners 2">
          <a:extLst>
            <a:ext uri="{FF2B5EF4-FFF2-40B4-BE49-F238E27FC236}">
              <a16:creationId xmlns:a16="http://schemas.microsoft.com/office/drawing/2014/main" id="{ECF06EB9-8A0C-A0A4-B087-D42D02EFD761}"/>
            </a:ext>
          </a:extLst>
        </xdr:cNvPr>
        <xdr:cNvSpPr/>
      </xdr:nvSpPr>
      <xdr:spPr>
        <a:xfrm>
          <a:off x="0" y="1058919"/>
          <a:ext cx="2351820" cy="92990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160020</xdr:rowOff>
    </xdr:from>
    <xdr:to>
      <xdr:col>3</xdr:col>
      <xdr:colOff>411480</xdr:colOff>
      <xdr:row>10</xdr:row>
      <xdr:rowOff>144780</xdr:rowOff>
    </xdr:to>
    <xdr:grpSp>
      <xdr:nvGrpSpPr>
        <xdr:cNvPr id="8" name="Group 7">
          <a:extLst>
            <a:ext uri="{FF2B5EF4-FFF2-40B4-BE49-F238E27FC236}">
              <a16:creationId xmlns:a16="http://schemas.microsoft.com/office/drawing/2014/main" id="{34B512AA-2A13-4A5E-C0D2-8D7C3222EEEB}"/>
            </a:ext>
          </a:extLst>
        </xdr:cNvPr>
        <xdr:cNvGrpSpPr/>
      </xdr:nvGrpSpPr>
      <xdr:grpSpPr>
        <a:xfrm>
          <a:off x="0" y="1074420"/>
          <a:ext cx="2240280" cy="899160"/>
          <a:chOff x="144780" y="1051560"/>
          <a:chExt cx="2011680" cy="891540"/>
        </a:xfrm>
      </xdr:grpSpPr>
      <xdr:sp macro="" textlink="">
        <xdr:nvSpPr>
          <xdr:cNvPr id="4" name="Rectangle: Rounded Corners 3">
            <a:extLst>
              <a:ext uri="{FF2B5EF4-FFF2-40B4-BE49-F238E27FC236}">
                <a16:creationId xmlns:a16="http://schemas.microsoft.com/office/drawing/2014/main" id="{1E2CB578-DFC0-C48D-5FDD-09E64ABC652D}"/>
              </a:ext>
            </a:extLst>
          </xdr:cNvPr>
          <xdr:cNvSpPr/>
        </xdr:nvSpPr>
        <xdr:spPr>
          <a:xfrm>
            <a:off x="144780" y="1051560"/>
            <a:ext cx="792480" cy="891540"/>
          </a:xfrm>
          <a:prstGeom prst="roundRect">
            <a:avLst>
              <a:gd name="adj" fmla="val 8654"/>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FA298647-884A-574E-07AA-740E7196AB8F}"/>
              </a:ext>
            </a:extLst>
          </xdr:cNvPr>
          <xdr:cNvSpPr txBox="1"/>
        </xdr:nvSpPr>
        <xdr:spPr>
          <a:xfrm>
            <a:off x="998220" y="1181100"/>
            <a:ext cx="1158240" cy="274320"/>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b="1">
                <a:solidFill>
                  <a:schemeClr val="accent6">
                    <a:lumMod val="50000"/>
                  </a:schemeClr>
                </a:solidFill>
              </a:rPr>
              <a:t>TOTAL </a:t>
            </a:r>
            <a:r>
              <a:rPr lang="en-IN" sz="1100" b="1" cap="none" spc="0">
                <a:ln>
                  <a:noFill/>
                </a:ln>
                <a:solidFill>
                  <a:schemeClr val="accent5">
                    <a:lumMod val="50000"/>
                  </a:schemeClr>
                </a:solidFill>
                <a:effectLst/>
              </a:rPr>
              <a:t>SALES</a:t>
            </a:r>
            <a:endParaRPr lang="en-IN" sz="1100" b="1">
              <a:solidFill>
                <a:schemeClr val="accent5">
                  <a:lumMod val="50000"/>
                </a:schemeClr>
              </a:solidFill>
            </a:endParaRPr>
          </a:p>
        </xdr:txBody>
      </xdr:sp>
      <xdr:sp macro="" textlink="SalesData!K2">
        <xdr:nvSpPr>
          <xdr:cNvPr id="6" name="TextBox 5">
            <a:extLst>
              <a:ext uri="{FF2B5EF4-FFF2-40B4-BE49-F238E27FC236}">
                <a16:creationId xmlns:a16="http://schemas.microsoft.com/office/drawing/2014/main" id="{915017BB-A2A3-E213-0C2B-F5824049C8AF}"/>
              </a:ext>
            </a:extLst>
          </xdr:cNvPr>
          <xdr:cNvSpPr txBox="1"/>
        </xdr:nvSpPr>
        <xdr:spPr>
          <a:xfrm>
            <a:off x="944880" y="1577340"/>
            <a:ext cx="1165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0E3228-336E-4EE2-967B-D4932AFE3B2B}" type="TxLink">
              <a:rPr lang="en-US" sz="1400" b="1" i="0" u="none" strike="noStrike">
                <a:solidFill>
                  <a:schemeClr val="accent5">
                    <a:lumMod val="50000"/>
                  </a:schemeClr>
                </a:solidFill>
                <a:latin typeface="Aptos Narrow"/>
              </a:rPr>
              <a:pPr algn="ctr"/>
              <a:t> 1,29,44,500 </a:t>
            </a:fld>
            <a:endParaRPr lang="en-US" sz="1400" b="1">
              <a:solidFill>
                <a:schemeClr val="accent5">
                  <a:lumMod val="50000"/>
                </a:schemeClr>
              </a:solidFill>
            </a:endParaRPr>
          </a:p>
        </xdr:txBody>
      </xdr:sp>
    </xdr:grpSp>
    <xdr:clientData/>
  </xdr:twoCellAnchor>
  <xdr:twoCellAnchor>
    <xdr:from>
      <xdr:col>4</xdr:col>
      <xdr:colOff>152400</xdr:colOff>
      <xdr:row>5</xdr:row>
      <xdr:rowOff>144519</xdr:rowOff>
    </xdr:from>
    <xdr:to>
      <xdr:col>8</xdr:col>
      <xdr:colOff>65820</xdr:colOff>
      <xdr:row>10</xdr:row>
      <xdr:rowOff>160020</xdr:rowOff>
    </xdr:to>
    <xdr:sp macro="" textlink="">
      <xdr:nvSpPr>
        <xdr:cNvPr id="59" name="Rectangle: Rounded Corners 58">
          <a:extLst>
            <a:ext uri="{FF2B5EF4-FFF2-40B4-BE49-F238E27FC236}">
              <a16:creationId xmlns:a16="http://schemas.microsoft.com/office/drawing/2014/main" id="{87C5A8F5-20EA-E911-9F95-CB110ADAE933}"/>
            </a:ext>
          </a:extLst>
        </xdr:cNvPr>
        <xdr:cNvSpPr/>
      </xdr:nvSpPr>
      <xdr:spPr>
        <a:xfrm>
          <a:off x="2590800" y="1058919"/>
          <a:ext cx="2351820" cy="92990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158400</xdr:colOff>
      <xdr:row>5</xdr:row>
      <xdr:rowOff>166020</xdr:rowOff>
    </xdr:from>
    <xdr:to>
      <xdr:col>7</xdr:col>
      <xdr:colOff>569880</xdr:colOff>
      <xdr:row>10</xdr:row>
      <xdr:rowOff>150780</xdr:rowOff>
    </xdr:to>
    <xdr:grpSp>
      <xdr:nvGrpSpPr>
        <xdr:cNvPr id="60" name="Group 59">
          <a:extLst>
            <a:ext uri="{FF2B5EF4-FFF2-40B4-BE49-F238E27FC236}">
              <a16:creationId xmlns:a16="http://schemas.microsoft.com/office/drawing/2014/main" id="{D17634F4-2088-C0B0-20A4-6C171EEF2F10}"/>
            </a:ext>
          </a:extLst>
        </xdr:cNvPr>
        <xdr:cNvGrpSpPr/>
      </xdr:nvGrpSpPr>
      <xdr:grpSpPr>
        <a:xfrm>
          <a:off x="2596800" y="1080420"/>
          <a:ext cx="2240280" cy="899160"/>
          <a:chOff x="144780" y="1051560"/>
          <a:chExt cx="2011680" cy="891540"/>
        </a:xfrm>
      </xdr:grpSpPr>
      <xdr:sp macro="" textlink="">
        <xdr:nvSpPr>
          <xdr:cNvPr id="61" name="Rectangle: Rounded Corners 60">
            <a:extLst>
              <a:ext uri="{FF2B5EF4-FFF2-40B4-BE49-F238E27FC236}">
                <a16:creationId xmlns:a16="http://schemas.microsoft.com/office/drawing/2014/main" id="{4C2022C1-56BB-F06F-A0E6-F2778BCB4EBB}"/>
              </a:ext>
            </a:extLst>
          </xdr:cNvPr>
          <xdr:cNvSpPr/>
        </xdr:nvSpPr>
        <xdr:spPr>
          <a:xfrm>
            <a:off x="144780" y="1051560"/>
            <a:ext cx="792480" cy="891540"/>
          </a:xfrm>
          <a:prstGeom prst="roundRect">
            <a:avLst>
              <a:gd name="adj" fmla="val 8654"/>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2" name="TextBox 61">
            <a:extLst>
              <a:ext uri="{FF2B5EF4-FFF2-40B4-BE49-F238E27FC236}">
                <a16:creationId xmlns:a16="http://schemas.microsoft.com/office/drawing/2014/main" id="{22C7D15A-98DF-D38D-A0A9-2882374F6BB9}"/>
              </a:ext>
            </a:extLst>
          </xdr:cNvPr>
          <xdr:cNvSpPr txBox="1"/>
        </xdr:nvSpPr>
        <xdr:spPr>
          <a:xfrm>
            <a:off x="911134" y="1181100"/>
            <a:ext cx="1245326" cy="286008"/>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b="1">
                <a:solidFill>
                  <a:schemeClr val="accent5">
                    <a:lumMod val="50000"/>
                  </a:schemeClr>
                </a:solidFill>
              </a:rPr>
              <a:t>AVERAGE</a:t>
            </a:r>
            <a:r>
              <a:rPr lang="en-IN" sz="1100" b="1" baseline="0">
                <a:solidFill>
                  <a:schemeClr val="accent5">
                    <a:lumMod val="50000"/>
                  </a:schemeClr>
                </a:solidFill>
              </a:rPr>
              <a:t> SALES</a:t>
            </a:r>
            <a:endParaRPr lang="en-IN" sz="1100" b="1">
              <a:solidFill>
                <a:schemeClr val="accent5">
                  <a:lumMod val="50000"/>
                </a:schemeClr>
              </a:solidFill>
            </a:endParaRPr>
          </a:p>
        </xdr:txBody>
      </xdr:sp>
      <xdr:sp macro="" textlink="SalesData!K8">
        <xdr:nvSpPr>
          <xdr:cNvPr id="63" name="TextBox 62">
            <a:extLst>
              <a:ext uri="{FF2B5EF4-FFF2-40B4-BE49-F238E27FC236}">
                <a16:creationId xmlns:a16="http://schemas.microsoft.com/office/drawing/2014/main" id="{2F4EA128-B659-80BD-ED01-CCAF73C5436C}"/>
              </a:ext>
            </a:extLst>
          </xdr:cNvPr>
          <xdr:cNvSpPr txBox="1"/>
        </xdr:nvSpPr>
        <xdr:spPr>
          <a:xfrm>
            <a:off x="944880" y="1577340"/>
            <a:ext cx="1165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FD955D-FEBB-46A2-828E-EA347A7D32D8}" type="TxLink">
              <a:rPr lang="en-US" sz="1600" b="1" i="0" u="none" strike="noStrike">
                <a:solidFill>
                  <a:schemeClr val="accent5">
                    <a:lumMod val="50000"/>
                  </a:schemeClr>
                </a:solidFill>
                <a:latin typeface="Aptos Narrow"/>
              </a:rPr>
              <a:pPr algn="ctr"/>
              <a:t> 2,58,890 </a:t>
            </a:fld>
            <a:endParaRPr lang="en-US" sz="1600" b="1">
              <a:solidFill>
                <a:schemeClr val="accent5">
                  <a:lumMod val="50000"/>
                </a:schemeClr>
              </a:solidFill>
            </a:endParaRPr>
          </a:p>
        </xdr:txBody>
      </xdr:sp>
    </xdr:grpSp>
    <xdr:clientData/>
  </xdr:twoCellAnchor>
  <xdr:twoCellAnchor>
    <xdr:from>
      <xdr:col>8</xdr:col>
      <xdr:colOff>365760</xdr:colOff>
      <xdr:row>5</xdr:row>
      <xdr:rowOff>144519</xdr:rowOff>
    </xdr:from>
    <xdr:to>
      <xdr:col>12</xdr:col>
      <xdr:colOff>279180</xdr:colOff>
      <xdr:row>10</xdr:row>
      <xdr:rowOff>160020</xdr:rowOff>
    </xdr:to>
    <xdr:sp macro="" textlink="">
      <xdr:nvSpPr>
        <xdr:cNvPr id="64" name="Rectangle: Rounded Corners 63">
          <a:extLst>
            <a:ext uri="{FF2B5EF4-FFF2-40B4-BE49-F238E27FC236}">
              <a16:creationId xmlns:a16="http://schemas.microsoft.com/office/drawing/2014/main" id="{43522B41-2B7D-972D-6D0C-1F5C829DA704}"/>
            </a:ext>
          </a:extLst>
        </xdr:cNvPr>
        <xdr:cNvSpPr/>
      </xdr:nvSpPr>
      <xdr:spPr>
        <a:xfrm>
          <a:off x="5242560" y="1058919"/>
          <a:ext cx="2351820" cy="92990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365760</xdr:colOff>
      <xdr:row>5</xdr:row>
      <xdr:rowOff>160020</xdr:rowOff>
    </xdr:from>
    <xdr:to>
      <xdr:col>12</xdr:col>
      <xdr:colOff>167640</xdr:colOff>
      <xdr:row>10</xdr:row>
      <xdr:rowOff>144780</xdr:rowOff>
    </xdr:to>
    <xdr:grpSp>
      <xdr:nvGrpSpPr>
        <xdr:cNvPr id="65" name="Group 64">
          <a:extLst>
            <a:ext uri="{FF2B5EF4-FFF2-40B4-BE49-F238E27FC236}">
              <a16:creationId xmlns:a16="http://schemas.microsoft.com/office/drawing/2014/main" id="{942D12E3-8D6E-C053-6DC6-BC368B3A6F36}"/>
            </a:ext>
          </a:extLst>
        </xdr:cNvPr>
        <xdr:cNvGrpSpPr/>
      </xdr:nvGrpSpPr>
      <xdr:grpSpPr>
        <a:xfrm>
          <a:off x="5242560" y="1074420"/>
          <a:ext cx="2240280" cy="899160"/>
          <a:chOff x="144780" y="1051560"/>
          <a:chExt cx="2011680" cy="891540"/>
        </a:xfrm>
      </xdr:grpSpPr>
      <xdr:sp macro="" textlink="">
        <xdr:nvSpPr>
          <xdr:cNvPr id="66" name="Rectangle: Rounded Corners 65">
            <a:extLst>
              <a:ext uri="{FF2B5EF4-FFF2-40B4-BE49-F238E27FC236}">
                <a16:creationId xmlns:a16="http://schemas.microsoft.com/office/drawing/2014/main" id="{4A5B5EA6-5B47-DD35-97DA-FC1F7E12C697}"/>
              </a:ext>
            </a:extLst>
          </xdr:cNvPr>
          <xdr:cNvSpPr/>
        </xdr:nvSpPr>
        <xdr:spPr>
          <a:xfrm>
            <a:off x="144780" y="1051560"/>
            <a:ext cx="792480" cy="891540"/>
          </a:xfrm>
          <a:prstGeom prst="roundRect">
            <a:avLst>
              <a:gd name="adj" fmla="val 8654"/>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TextBox 66">
            <a:extLst>
              <a:ext uri="{FF2B5EF4-FFF2-40B4-BE49-F238E27FC236}">
                <a16:creationId xmlns:a16="http://schemas.microsoft.com/office/drawing/2014/main" id="{D6702108-985E-8FDB-84A1-27379C171F98}"/>
              </a:ext>
            </a:extLst>
          </xdr:cNvPr>
          <xdr:cNvSpPr txBox="1"/>
        </xdr:nvSpPr>
        <xdr:spPr>
          <a:xfrm>
            <a:off x="998220" y="1181100"/>
            <a:ext cx="1158240" cy="274320"/>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b="1">
                <a:solidFill>
                  <a:schemeClr val="accent5">
                    <a:lumMod val="50000"/>
                  </a:schemeClr>
                </a:solidFill>
              </a:rPr>
              <a:t>UNIT</a:t>
            </a:r>
            <a:r>
              <a:rPr lang="en-IN" sz="1100" b="1" baseline="0">
                <a:solidFill>
                  <a:schemeClr val="accent5">
                    <a:lumMod val="50000"/>
                  </a:schemeClr>
                </a:solidFill>
              </a:rPr>
              <a:t> SOLD</a:t>
            </a:r>
            <a:endParaRPr lang="en-IN" sz="1100" b="1">
              <a:solidFill>
                <a:schemeClr val="accent5">
                  <a:lumMod val="50000"/>
                </a:schemeClr>
              </a:solidFill>
            </a:endParaRPr>
          </a:p>
        </xdr:txBody>
      </xdr:sp>
      <xdr:sp macro="" textlink="SalesData!K4">
        <xdr:nvSpPr>
          <xdr:cNvPr id="68" name="TextBox 67">
            <a:extLst>
              <a:ext uri="{FF2B5EF4-FFF2-40B4-BE49-F238E27FC236}">
                <a16:creationId xmlns:a16="http://schemas.microsoft.com/office/drawing/2014/main" id="{A6904F9F-4BF8-23A6-2C31-2E18A8402FA2}"/>
              </a:ext>
            </a:extLst>
          </xdr:cNvPr>
          <xdr:cNvSpPr txBox="1"/>
        </xdr:nvSpPr>
        <xdr:spPr>
          <a:xfrm>
            <a:off x="944880" y="1577340"/>
            <a:ext cx="1165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87A459A-E803-4675-8A39-0F1E0D4A304E}" type="TxLink">
              <a:rPr lang="en-US" sz="1600" b="1" i="0" u="none" strike="noStrike">
                <a:solidFill>
                  <a:schemeClr val="accent5">
                    <a:lumMod val="50000"/>
                  </a:schemeClr>
                </a:solidFill>
                <a:latin typeface="Aptos Narrow"/>
              </a:rPr>
              <a:pPr algn="ctr"/>
              <a:t>4705</a:t>
            </a:fld>
            <a:endParaRPr lang="en-US" sz="1600" b="1">
              <a:solidFill>
                <a:schemeClr val="accent5">
                  <a:lumMod val="50000"/>
                </a:schemeClr>
              </a:solidFill>
            </a:endParaRPr>
          </a:p>
        </xdr:txBody>
      </xdr:sp>
    </xdr:grpSp>
    <xdr:clientData/>
  </xdr:twoCellAnchor>
  <xdr:twoCellAnchor>
    <xdr:from>
      <xdr:col>13</xdr:col>
      <xdr:colOff>30480</xdr:colOff>
      <xdr:row>5</xdr:row>
      <xdr:rowOff>144519</xdr:rowOff>
    </xdr:from>
    <xdr:to>
      <xdr:col>16</xdr:col>
      <xdr:colOff>553500</xdr:colOff>
      <xdr:row>10</xdr:row>
      <xdr:rowOff>160020</xdr:rowOff>
    </xdr:to>
    <xdr:sp macro="" textlink="">
      <xdr:nvSpPr>
        <xdr:cNvPr id="78" name="Rectangle: Rounded Corners 77">
          <a:extLst>
            <a:ext uri="{FF2B5EF4-FFF2-40B4-BE49-F238E27FC236}">
              <a16:creationId xmlns:a16="http://schemas.microsoft.com/office/drawing/2014/main" id="{0D6AC34E-92B0-99B1-8F98-A106ECA82071}"/>
            </a:ext>
          </a:extLst>
        </xdr:cNvPr>
        <xdr:cNvSpPr/>
      </xdr:nvSpPr>
      <xdr:spPr>
        <a:xfrm>
          <a:off x="7955280" y="1058919"/>
          <a:ext cx="2351820" cy="92990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51945</xdr:colOff>
      <xdr:row>5</xdr:row>
      <xdr:rowOff>165766</xdr:rowOff>
    </xdr:from>
    <xdr:to>
      <xdr:col>16</xdr:col>
      <xdr:colOff>441960</xdr:colOff>
      <xdr:row>10</xdr:row>
      <xdr:rowOff>152976</xdr:rowOff>
    </xdr:to>
    <xdr:grpSp>
      <xdr:nvGrpSpPr>
        <xdr:cNvPr id="79" name="Group 78">
          <a:extLst>
            <a:ext uri="{FF2B5EF4-FFF2-40B4-BE49-F238E27FC236}">
              <a16:creationId xmlns:a16="http://schemas.microsoft.com/office/drawing/2014/main" id="{2D408B50-A466-5BA2-7044-E51947D4578A}"/>
            </a:ext>
          </a:extLst>
        </xdr:cNvPr>
        <xdr:cNvGrpSpPr/>
      </xdr:nvGrpSpPr>
      <xdr:grpSpPr>
        <a:xfrm>
          <a:off x="7976745" y="1080166"/>
          <a:ext cx="2218815" cy="901610"/>
          <a:chOff x="164000" y="1083560"/>
          <a:chExt cx="1992460" cy="891540"/>
        </a:xfrm>
      </xdr:grpSpPr>
      <xdr:sp macro="" textlink="">
        <xdr:nvSpPr>
          <xdr:cNvPr id="80" name="Rectangle: Rounded Corners 79">
            <a:extLst>
              <a:ext uri="{FF2B5EF4-FFF2-40B4-BE49-F238E27FC236}">
                <a16:creationId xmlns:a16="http://schemas.microsoft.com/office/drawing/2014/main" id="{DE02E262-DC66-0D7F-9E40-D6184FC560BB}"/>
              </a:ext>
            </a:extLst>
          </xdr:cNvPr>
          <xdr:cNvSpPr/>
        </xdr:nvSpPr>
        <xdr:spPr>
          <a:xfrm>
            <a:off x="164000" y="1083560"/>
            <a:ext cx="792480" cy="891540"/>
          </a:xfrm>
          <a:prstGeom prst="roundRect">
            <a:avLst>
              <a:gd name="adj" fmla="val 8654"/>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lumMod val="50000"/>
                </a:schemeClr>
              </a:solidFill>
            </a:endParaRPr>
          </a:p>
        </xdr:txBody>
      </xdr:sp>
      <xdr:sp macro="" textlink="">
        <xdr:nvSpPr>
          <xdr:cNvPr id="81" name="TextBox 80">
            <a:extLst>
              <a:ext uri="{FF2B5EF4-FFF2-40B4-BE49-F238E27FC236}">
                <a16:creationId xmlns:a16="http://schemas.microsoft.com/office/drawing/2014/main" id="{5A9D5A79-0811-E279-6640-78634512AEC5}"/>
              </a:ext>
            </a:extLst>
          </xdr:cNvPr>
          <xdr:cNvSpPr txBox="1"/>
        </xdr:nvSpPr>
        <xdr:spPr>
          <a:xfrm>
            <a:off x="998220" y="1181100"/>
            <a:ext cx="1158240" cy="274320"/>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b="1">
                <a:solidFill>
                  <a:schemeClr val="accent5">
                    <a:lumMod val="50000"/>
                  </a:schemeClr>
                </a:solidFill>
              </a:rPr>
              <a:t>PROFIT</a:t>
            </a:r>
          </a:p>
        </xdr:txBody>
      </xdr:sp>
      <xdr:sp macro="" textlink="SalesData!K6">
        <xdr:nvSpPr>
          <xdr:cNvPr id="82" name="TextBox 81">
            <a:extLst>
              <a:ext uri="{FF2B5EF4-FFF2-40B4-BE49-F238E27FC236}">
                <a16:creationId xmlns:a16="http://schemas.microsoft.com/office/drawing/2014/main" id="{2D05D31A-ABDF-3C2D-2069-63E0BE34EE6E}"/>
              </a:ext>
            </a:extLst>
          </xdr:cNvPr>
          <xdr:cNvSpPr txBox="1"/>
        </xdr:nvSpPr>
        <xdr:spPr>
          <a:xfrm>
            <a:off x="944880" y="1577340"/>
            <a:ext cx="1165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D21511-68E3-41B6-82CA-0FB4F5D523E7}" type="TxLink">
              <a:rPr lang="en-US" sz="1400" b="1" i="0" u="none" strike="noStrike">
                <a:solidFill>
                  <a:schemeClr val="accent5">
                    <a:lumMod val="50000"/>
                  </a:schemeClr>
                </a:solidFill>
                <a:latin typeface="Aptos Narrow"/>
              </a:rPr>
              <a:pPr algn="ctr"/>
              <a:t> 38,34,400 </a:t>
            </a:fld>
            <a:endParaRPr lang="en-US" sz="2800" b="1">
              <a:solidFill>
                <a:schemeClr val="accent5">
                  <a:lumMod val="50000"/>
                </a:schemeClr>
              </a:solidFill>
            </a:endParaRPr>
          </a:p>
        </xdr:txBody>
      </xdr:sp>
    </xdr:grpSp>
    <xdr:clientData/>
  </xdr:twoCellAnchor>
  <xdr:twoCellAnchor editAs="oneCell">
    <xdr:from>
      <xdr:col>0</xdr:col>
      <xdr:colOff>285928</xdr:colOff>
      <xdr:row>7</xdr:row>
      <xdr:rowOff>54242</xdr:rowOff>
    </xdr:from>
    <xdr:to>
      <xdr:col>1</xdr:col>
      <xdr:colOff>34182</xdr:colOff>
      <xdr:row>9</xdr:row>
      <xdr:rowOff>49340</xdr:rowOff>
    </xdr:to>
    <xdr:pic>
      <xdr:nvPicPr>
        <xdr:cNvPr id="84" name="Graphic 83" descr="Bank with solid fill">
          <a:extLst>
            <a:ext uri="{FF2B5EF4-FFF2-40B4-BE49-F238E27FC236}">
              <a16:creationId xmlns:a16="http://schemas.microsoft.com/office/drawing/2014/main" id="{9C56013C-A0D3-7563-A5F9-4A1CE02473E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928" y="1314242"/>
          <a:ext cx="360254" cy="355098"/>
        </a:xfrm>
        <a:prstGeom prst="rect">
          <a:avLst/>
        </a:prstGeom>
      </xdr:spPr>
    </xdr:pic>
    <xdr:clientData/>
  </xdr:twoCellAnchor>
  <xdr:twoCellAnchor editAs="oneCell">
    <xdr:from>
      <xdr:col>4</xdr:col>
      <xdr:colOff>441928</xdr:colOff>
      <xdr:row>7</xdr:row>
      <xdr:rowOff>63362</xdr:rowOff>
    </xdr:from>
    <xdr:to>
      <xdr:col>5</xdr:col>
      <xdr:colOff>190182</xdr:colOff>
      <xdr:row>9</xdr:row>
      <xdr:rowOff>58461</xdr:rowOff>
    </xdr:to>
    <xdr:pic>
      <xdr:nvPicPr>
        <xdr:cNvPr id="86" name="Graphic 85" descr="Money with solid fill">
          <a:extLst>
            <a:ext uri="{FF2B5EF4-FFF2-40B4-BE49-F238E27FC236}">
              <a16:creationId xmlns:a16="http://schemas.microsoft.com/office/drawing/2014/main" id="{23B5ACDC-CD1D-CBA6-F0D1-DA13FD5002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89928" y="1323362"/>
          <a:ext cx="360254" cy="355099"/>
        </a:xfrm>
        <a:prstGeom prst="rect">
          <a:avLst/>
        </a:prstGeom>
      </xdr:spPr>
    </xdr:pic>
    <xdr:clientData/>
  </xdr:twoCellAnchor>
  <xdr:twoCellAnchor editAs="oneCell">
    <xdr:from>
      <xdr:col>9</xdr:col>
      <xdr:colOff>42964</xdr:colOff>
      <xdr:row>7</xdr:row>
      <xdr:rowOff>66782</xdr:rowOff>
    </xdr:from>
    <xdr:to>
      <xdr:col>9</xdr:col>
      <xdr:colOff>466737</xdr:colOff>
      <xdr:row>9</xdr:row>
      <xdr:rowOff>124786</xdr:rowOff>
    </xdr:to>
    <xdr:pic>
      <xdr:nvPicPr>
        <xdr:cNvPr id="88" name="Graphic 87" descr="Dollar with solid fill">
          <a:extLst>
            <a:ext uri="{FF2B5EF4-FFF2-40B4-BE49-F238E27FC236}">
              <a16:creationId xmlns:a16="http://schemas.microsoft.com/office/drawing/2014/main" id="{49EF0E3A-E6E8-A039-E64F-4BF7FC0275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50964" y="1326782"/>
          <a:ext cx="423773" cy="418004"/>
        </a:xfrm>
        <a:prstGeom prst="rect">
          <a:avLst/>
        </a:prstGeom>
      </xdr:spPr>
    </xdr:pic>
    <xdr:clientData/>
  </xdr:twoCellAnchor>
  <xdr:twoCellAnchor editAs="oneCell">
    <xdr:from>
      <xdr:col>13</xdr:col>
      <xdr:colOff>337730</xdr:colOff>
      <xdr:row>7</xdr:row>
      <xdr:rowOff>70429</xdr:rowOff>
    </xdr:from>
    <xdr:to>
      <xdr:col>14</xdr:col>
      <xdr:colOff>85984</xdr:colOff>
      <xdr:row>9</xdr:row>
      <xdr:rowOff>65528</xdr:rowOff>
    </xdr:to>
    <xdr:pic>
      <xdr:nvPicPr>
        <xdr:cNvPr id="90" name="Graphic 89" descr="Coins with solid fill">
          <a:extLst>
            <a:ext uri="{FF2B5EF4-FFF2-40B4-BE49-F238E27FC236}">
              <a16:creationId xmlns:a16="http://schemas.microsoft.com/office/drawing/2014/main" id="{B6018047-457B-0E7A-DCB9-0E5AE6045C1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293730" y="1330429"/>
          <a:ext cx="360254" cy="355099"/>
        </a:xfrm>
        <a:prstGeom prst="rect">
          <a:avLst/>
        </a:prstGeom>
      </xdr:spPr>
    </xdr:pic>
    <xdr:clientData/>
  </xdr:twoCellAnchor>
  <xdr:oneCellAnchor>
    <xdr:from>
      <xdr:col>7</xdr:col>
      <xdr:colOff>54428</xdr:colOff>
      <xdr:row>1</xdr:row>
      <xdr:rowOff>48381</xdr:rowOff>
    </xdr:from>
    <xdr:ext cx="5067904" cy="405432"/>
    <xdr:sp macro="" textlink="">
      <xdr:nvSpPr>
        <xdr:cNvPr id="91" name="TextBox 90">
          <a:extLst>
            <a:ext uri="{FF2B5EF4-FFF2-40B4-BE49-F238E27FC236}">
              <a16:creationId xmlns:a16="http://schemas.microsoft.com/office/drawing/2014/main" id="{9F8DD2DC-C6B5-F11F-1B60-F97CB7B227BC}"/>
            </a:ext>
          </a:extLst>
        </xdr:cNvPr>
        <xdr:cNvSpPr txBox="1"/>
      </xdr:nvSpPr>
      <xdr:spPr>
        <a:xfrm>
          <a:off x="4330095" y="229810"/>
          <a:ext cx="506790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solidFill>
                <a:schemeClr val="accent6">
                  <a:lumMod val="50000"/>
                </a:schemeClr>
              </a:solidFill>
            </a:rPr>
            <a:t>Sales</a:t>
          </a:r>
          <a:r>
            <a:rPr lang="en-IN" sz="2000" b="1" baseline="0">
              <a:solidFill>
                <a:schemeClr val="accent6">
                  <a:lumMod val="50000"/>
                </a:schemeClr>
              </a:solidFill>
            </a:rPr>
            <a:t> Dashboard   -   2024</a:t>
          </a:r>
          <a:endParaRPr lang="en-IN" sz="2000" b="1">
            <a:solidFill>
              <a:schemeClr val="accent6">
                <a:lumMod val="50000"/>
              </a:schemeClr>
            </a:solidFill>
          </a:endParaRPr>
        </a:p>
      </xdr:txBody>
    </xdr:sp>
    <xdr:clientData/>
  </xdr:oneCellAnchor>
  <xdr:twoCellAnchor editAs="oneCell">
    <xdr:from>
      <xdr:col>6</xdr:col>
      <xdr:colOff>223760</xdr:colOff>
      <xdr:row>0</xdr:row>
      <xdr:rowOff>157239</xdr:rowOff>
    </xdr:from>
    <xdr:to>
      <xdr:col>7</xdr:col>
      <xdr:colOff>8950</xdr:colOff>
      <xdr:row>3</xdr:row>
      <xdr:rowOff>5835</xdr:rowOff>
    </xdr:to>
    <xdr:pic>
      <xdr:nvPicPr>
        <xdr:cNvPr id="92" name="Picture 91">
          <a:extLst>
            <a:ext uri="{FF2B5EF4-FFF2-40B4-BE49-F238E27FC236}">
              <a16:creationId xmlns:a16="http://schemas.microsoft.com/office/drawing/2014/main" id="{E45F507F-600B-DC70-3541-CB1D64F7F37B}"/>
            </a:ext>
          </a:extLst>
        </xdr:cNvPr>
        <xdr:cNvPicPr>
          <a:picLocks noChangeAspect="1"/>
        </xdr:cNvPicPr>
      </xdr:nvPicPr>
      <xdr:blipFill>
        <a:blip xmlns:r="http://schemas.openxmlformats.org/officeDocument/2006/relationships" r:embed="rId9"/>
        <a:stretch>
          <a:fillRect/>
        </a:stretch>
      </xdr:blipFill>
      <xdr:spPr>
        <a:xfrm>
          <a:off x="3888617" y="157239"/>
          <a:ext cx="396000" cy="392882"/>
        </a:xfrm>
        <a:prstGeom prst="rect">
          <a:avLst/>
        </a:prstGeom>
      </xdr:spPr>
    </xdr:pic>
    <xdr:clientData/>
  </xdr:twoCellAnchor>
  <xdr:twoCellAnchor editAs="oneCell">
    <xdr:from>
      <xdr:col>0</xdr:col>
      <xdr:colOff>0</xdr:colOff>
      <xdr:row>12</xdr:row>
      <xdr:rowOff>1</xdr:rowOff>
    </xdr:from>
    <xdr:to>
      <xdr:col>2</xdr:col>
      <xdr:colOff>607181</xdr:colOff>
      <xdr:row>24</xdr:row>
      <xdr:rowOff>133048</xdr:rowOff>
    </xdr:to>
    <mc:AlternateContent xmlns:mc="http://schemas.openxmlformats.org/markup-compatibility/2006" xmlns:a14="http://schemas.microsoft.com/office/drawing/2010/main">
      <mc:Choice Requires="a14">
        <xdr:graphicFrame macro="">
          <xdr:nvGraphicFramePr>
            <xdr:cNvPr id="94" name="Product 1">
              <a:extLst>
                <a:ext uri="{FF2B5EF4-FFF2-40B4-BE49-F238E27FC236}">
                  <a16:creationId xmlns:a16="http://schemas.microsoft.com/office/drawing/2014/main" id="{D82350AF-538F-448B-ADE6-35B1F870267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2194561"/>
              <a:ext cx="1826381" cy="2327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181428</xdr:rowOff>
    </xdr:from>
    <xdr:to>
      <xdr:col>2</xdr:col>
      <xdr:colOff>607181</xdr:colOff>
      <xdr:row>43</xdr:row>
      <xdr:rowOff>72571</xdr:rowOff>
    </xdr:to>
    <mc:AlternateContent xmlns:mc="http://schemas.openxmlformats.org/markup-compatibility/2006" xmlns:a14="http://schemas.microsoft.com/office/drawing/2010/main">
      <mc:Choice Requires="a14">
        <xdr:graphicFrame macro="">
          <xdr:nvGraphicFramePr>
            <xdr:cNvPr id="95" name="Sales Person 1">
              <a:extLst>
                <a:ext uri="{FF2B5EF4-FFF2-40B4-BE49-F238E27FC236}">
                  <a16:creationId xmlns:a16="http://schemas.microsoft.com/office/drawing/2014/main" id="{B63F5A7D-0508-42F1-A736-5A75A64A0CAE}"/>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4753428"/>
              <a:ext cx="1826381" cy="3182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163285</xdr:colOff>
      <xdr:row>11</xdr:row>
      <xdr:rowOff>175381</xdr:rowOff>
    </xdr:from>
    <xdr:to>
      <xdr:col>9</xdr:col>
      <xdr:colOff>556381</xdr:colOff>
      <xdr:row>26</xdr:row>
      <xdr:rowOff>84665</xdr:rowOff>
    </xdr:to>
    <xdr:sp macro="" textlink="">
      <xdr:nvSpPr>
        <xdr:cNvPr id="97" name="Rectangle: Rounded Corners 96">
          <a:extLst>
            <a:ext uri="{FF2B5EF4-FFF2-40B4-BE49-F238E27FC236}">
              <a16:creationId xmlns:a16="http://schemas.microsoft.com/office/drawing/2014/main" id="{8077C669-97BB-FD65-6E2A-9BA182DB2D12}"/>
            </a:ext>
          </a:extLst>
        </xdr:cNvPr>
        <xdr:cNvSpPr/>
      </xdr:nvSpPr>
      <xdr:spPr>
        <a:xfrm>
          <a:off x="1995714" y="2171095"/>
          <a:ext cx="4057953" cy="263071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ln>
                <a:noFill/>
              </a:ln>
              <a:solidFill>
                <a:schemeClr val="accent6">
                  <a:lumMod val="50000"/>
                </a:schemeClr>
              </a:solidFill>
            </a:rPr>
            <a:t>        Unit Sold by Product</a:t>
          </a:r>
          <a:endParaRPr lang="en-IN" sz="1100" b="1">
            <a:ln>
              <a:noFill/>
            </a:ln>
            <a:solidFill>
              <a:schemeClr val="accent6">
                <a:lumMod val="50000"/>
              </a:schemeClr>
            </a:solidFill>
          </a:endParaRPr>
        </a:p>
      </xdr:txBody>
    </xdr:sp>
    <xdr:clientData/>
  </xdr:twoCellAnchor>
  <xdr:twoCellAnchor>
    <xdr:from>
      <xdr:col>3</xdr:col>
      <xdr:colOff>471712</xdr:colOff>
      <xdr:row>14</xdr:row>
      <xdr:rowOff>12094</xdr:rowOff>
    </xdr:from>
    <xdr:to>
      <xdr:col>9</xdr:col>
      <xdr:colOff>344714</xdr:colOff>
      <xdr:row>25</xdr:row>
      <xdr:rowOff>133047</xdr:rowOff>
    </xdr:to>
    <xdr:graphicFrame macro="">
      <xdr:nvGraphicFramePr>
        <xdr:cNvPr id="99" name="Chart 98">
          <a:extLst>
            <a:ext uri="{FF2B5EF4-FFF2-40B4-BE49-F238E27FC236}">
              <a16:creationId xmlns:a16="http://schemas.microsoft.com/office/drawing/2014/main" id="{91EA663B-CCB1-428A-867B-79D880CD8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273063</xdr:colOff>
      <xdr:row>26</xdr:row>
      <xdr:rowOff>174857</xdr:rowOff>
    </xdr:from>
    <xdr:to>
      <xdr:col>10</xdr:col>
      <xdr:colOff>24848</xdr:colOff>
      <xdr:row>43</xdr:row>
      <xdr:rowOff>66261</xdr:rowOff>
    </xdr:to>
    <xdr:sp macro="" textlink="">
      <xdr:nvSpPr>
        <xdr:cNvPr id="105" name="Rectangle: Rounded Corners 104">
          <a:extLst>
            <a:ext uri="{FF2B5EF4-FFF2-40B4-BE49-F238E27FC236}">
              <a16:creationId xmlns:a16="http://schemas.microsoft.com/office/drawing/2014/main" id="{AC9D9590-792E-E2B0-A496-A176970E1226}"/>
            </a:ext>
          </a:extLst>
        </xdr:cNvPr>
        <xdr:cNvSpPr/>
      </xdr:nvSpPr>
      <xdr:spPr>
        <a:xfrm>
          <a:off x="2111802" y="4912509"/>
          <a:ext cx="4042176" cy="29891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ln>
                <a:noFill/>
              </a:ln>
              <a:solidFill>
                <a:schemeClr val="accent6">
                  <a:lumMod val="50000"/>
                </a:schemeClr>
              </a:solidFill>
            </a:rPr>
            <a:t>        Total Sales by Product</a:t>
          </a:r>
          <a:endParaRPr lang="en-IN" sz="1100" b="1">
            <a:ln>
              <a:noFill/>
            </a:ln>
            <a:solidFill>
              <a:schemeClr val="accent6">
                <a:lumMod val="50000"/>
              </a:schemeClr>
            </a:solidFill>
          </a:endParaRPr>
        </a:p>
      </xdr:txBody>
    </xdr:sp>
    <xdr:clientData/>
  </xdr:twoCellAnchor>
  <xdr:twoCellAnchor>
    <xdr:from>
      <xdr:col>10</xdr:col>
      <xdr:colOff>314476</xdr:colOff>
      <xdr:row>11</xdr:row>
      <xdr:rowOff>163287</xdr:rowOff>
    </xdr:from>
    <xdr:to>
      <xdr:col>17</xdr:col>
      <xdr:colOff>96762</xdr:colOff>
      <xdr:row>26</xdr:row>
      <xdr:rowOff>72571</xdr:rowOff>
    </xdr:to>
    <xdr:sp macro="" textlink="">
      <xdr:nvSpPr>
        <xdr:cNvPr id="108" name="Rectangle: Rounded Corners 107">
          <a:extLst>
            <a:ext uri="{FF2B5EF4-FFF2-40B4-BE49-F238E27FC236}">
              <a16:creationId xmlns:a16="http://schemas.microsoft.com/office/drawing/2014/main" id="{3EBAEE0A-1939-9CEE-2394-F71E2DF4A52F}"/>
            </a:ext>
          </a:extLst>
        </xdr:cNvPr>
        <xdr:cNvSpPr/>
      </xdr:nvSpPr>
      <xdr:spPr>
        <a:xfrm>
          <a:off x="6422571" y="2159001"/>
          <a:ext cx="4057953" cy="263071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ln>
                <a:noFill/>
              </a:ln>
              <a:solidFill>
                <a:schemeClr val="accent6">
                  <a:lumMod val="50000"/>
                </a:schemeClr>
              </a:solidFill>
            </a:rPr>
            <a:t>        Total Sales by Region</a:t>
          </a:r>
          <a:endParaRPr lang="en-IN" sz="1100" b="1">
            <a:ln>
              <a:noFill/>
            </a:ln>
            <a:solidFill>
              <a:schemeClr val="accent6">
                <a:lumMod val="50000"/>
              </a:schemeClr>
            </a:solidFill>
          </a:endParaRPr>
        </a:p>
      </xdr:txBody>
    </xdr:sp>
    <xdr:clientData/>
  </xdr:twoCellAnchor>
  <xdr:twoCellAnchor>
    <xdr:from>
      <xdr:col>10</xdr:col>
      <xdr:colOff>344714</xdr:colOff>
      <xdr:row>26</xdr:row>
      <xdr:rowOff>175379</xdr:rowOff>
    </xdr:from>
    <xdr:to>
      <xdr:col>17</xdr:col>
      <xdr:colOff>169333</xdr:colOff>
      <xdr:row>43</xdr:row>
      <xdr:rowOff>126998</xdr:rowOff>
    </xdr:to>
    <xdr:sp macro="" textlink="">
      <xdr:nvSpPr>
        <xdr:cNvPr id="109" name="Rectangle: Rounded Corners 108">
          <a:extLst>
            <a:ext uri="{FF2B5EF4-FFF2-40B4-BE49-F238E27FC236}">
              <a16:creationId xmlns:a16="http://schemas.microsoft.com/office/drawing/2014/main" id="{C620B349-02C8-31D5-5058-5710E1CE526D}"/>
            </a:ext>
          </a:extLst>
        </xdr:cNvPr>
        <xdr:cNvSpPr/>
      </xdr:nvSpPr>
      <xdr:spPr>
        <a:xfrm>
          <a:off x="6452809" y="4892522"/>
          <a:ext cx="4100286" cy="303590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ln>
                <a:noFill/>
              </a:ln>
              <a:solidFill>
                <a:schemeClr val="accent6">
                  <a:lumMod val="50000"/>
                </a:schemeClr>
              </a:solidFill>
            </a:rPr>
            <a:t>        Total Sales by Sales Person</a:t>
          </a:r>
          <a:endParaRPr lang="en-IN" sz="1100" b="1">
            <a:ln>
              <a:noFill/>
            </a:ln>
            <a:solidFill>
              <a:schemeClr val="accent6">
                <a:lumMod val="50000"/>
              </a:schemeClr>
            </a:solidFill>
          </a:endParaRPr>
        </a:p>
      </xdr:txBody>
    </xdr:sp>
    <xdr:clientData/>
  </xdr:twoCellAnchor>
  <xdr:twoCellAnchor>
    <xdr:from>
      <xdr:col>10</xdr:col>
      <xdr:colOff>429381</xdr:colOff>
      <xdr:row>14</xdr:row>
      <xdr:rowOff>60476</xdr:rowOff>
    </xdr:from>
    <xdr:to>
      <xdr:col>16</xdr:col>
      <xdr:colOff>598715</xdr:colOff>
      <xdr:row>25</xdr:row>
      <xdr:rowOff>60476</xdr:rowOff>
    </xdr:to>
    <xdr:graphicFrame macro="">
      <xdr:nvGraphicFramePr>
        <xdr:cNvPr id="110" name="Chart 109">
          <a:extLst>
            <a:ext uri="{FF2B5EF4-FFF2-40B4-BE49-F238E27FC236}">
              <a16:creationId xmlns:a16="http://schemas.microsoft.com/office/drawing/2014/main" id="{DB7D5AF2-6206-401D-919D-B3971A892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483809</xdr:colOff>
      <xdr:row>30</xdr:row>
      <xdr:rowOff>84667</xdr:rowOff>
    </xdr:from>
    <xdr:to>
      <xdr:col>9</xdr:col>
      <xdr:colOff>562428</xdr:colOff>
      <xdr:row>40</xdr:row>
      <xdr:rowOff>133047</xdr:rowOff>
    </xdr:to>
    <xdr:graphicFrame macro="">
      <xdr:nvGraphicFramePr>
        <xdr:cNvPr id="111" name="Chart 110">
          <a:extLst>
            <a:ext uri="{FF2B5EF4-FFF2-40B4-BE49-F238E27FC236}">
              <a16:creationId xmlns:a16="http://schemas.microsoft.com/office/drawing/2014/main" id="{417149F9-3EB3-4D98-A06E-300EA31E3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12095</xdr:colOff>
      <xdr:row>29</xdr:row>
      <xdr:rowOff>90714</xdr:rowOff>
    </xdr:from>
    <xdr:to>
      <xdr:col>16</xdr:col>
      <xdr:colOff>604761</xdr:colOff>
      <xdr:row>42</xdr:row>
      <xdr:rowOff>48381</xdr:rowOff>
    </xdr:to>
    <xdr:graphicFrame macro="">
      <xdr:nvGraphicFramePr>
        <xdr:cNvPr id="112" name="Chart 111">
          <a:extLst>
            <a:ext uri="{FF2B5EF4-FFF2-40B4-BE49-F238E27FC236}">
              <a16:creationId xmlns:a16="http://schemas.microsoft.com/office/drawing/2014/main" id="{2DD8ADF8-8747-4EEF-B846-814E5D982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106680</xdr:rowOff>
    </xdr:from>
    <xdr:to>
      <xdr:col>5</xdr:col>
      <xdr:colOff>502920</xdr:colOff>
      <xdr:row>29</xdr:row>
      <xdr:rowOff>110490</xdr:rowOff>
    </xdr:to>
    <xdr:graphicFrame macro="">
      <xdr:nvGraphicFramePr>
        <xdr:cNvPr id="2" name="Chart 1">
          <a:extLst>
            <a:ext uri="{FF2B5EF4-FFF2-40B4-BE49-F238E27FC236}">
              <a16:creationId xmlns:a16="http://schemas.microsoft.com/office/drawing/2014/main" id="{70E12458-938E-08E6-F76B-CBE50AEDF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548640</xdr:colOff>
      <xdr:row>14</xdr:row>
      <xdr:rowOff>114300</xdr:rowOff>
    </xdr:from>
    <xdr:to>
      <xdr:col>12</xdr:col>
      <xdr:colOff>434340</xdr:colOff>
      <xdr:row>29</xdr:row>
      <xdr:rowOff>64770</xdr:rowOff>
    </xdr:to>
    <xdr:graphicFrame macro="">
      <xdr:nvGraphicFramePr>
        <xdr:cNvPr id="3" name="Chart 2">
          <a:extLst>
            <a:ext uri="{FF2B5EF4-FFF2-40B4-BE49-F238E27FC236}">
              <a16:creationId xmlns:a16="http://schemas.microsoft.com/office/drawing/2014/main" id="{58B60086-05ED-F776-2465-C6753F78E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640080</xdr:colOff>
      <xdr:row>14</xdr:row>
      <xdr:rowOff>95250</xdr:rowOff>
    </xdr:from>
    <xdr:to>
      <xdr:col>19</xdr:col>
      <xdr:colOff>243840</xdr:colOff>
      <xdr:row>29</xdr:row>
      <xdr:rowOff>95250</xdr:rowOff>
    </xdr:to>
    <xdr:graphicFrame macro="">
      <xdr:nvGraphicFramePr>
        <xdr:cNvPr id="4" name="Chart 3">
          <a:extLst>
            <a:ext uri="{FF2B5EF4-FFF2-40B4-BE49-F238E27FC236}">
              <a16:creationId xmlns:a16="http://schemas.microsoft.com/office/drawing/2014/main" id="{B2372A73-7FD9-6251-2E1A-D2BA85718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609199</xdr:colOff>
      <xdr:row>14</xdr:row>
      <xdr:rowOff>101065</xdr:rowOff>
    </xdr:from>
    <xdr:to>
      <xdr:col>27</xdr:col>
      <xdr:colOff>304399</xdr:colOff>
      <xdr:row>29</xdr:row>
      <xdr:rowOff>89636</xdr:rowOff>
    </xdr:to>
    <xdr:graphicFrame macro="">
      <xdr:nvGraphicFramePr>
        <xdr:cNvPr id="6" name="Chart 5">
          <a:extLst>
            <a:ext uri="{FF2B5EF4-FFF2-40B4-BE49-F238E27FC236}">
              <a16:creationId xmlns:a16="http://schemas.microsoft.com/office/drawing/2014/main" id="{2E275C5E-7183-D1D1-3958-CC14DF388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459606</xdr:colOff>
      <xdr:row>4</xdr:row>
      <xdr:rowOff>107883</xdr:rowOff>
    </xdr:from>
    <xdr:to>
      <xdr:col>9</xdr:col>
      <xdr:colOff>796490</xdr:colOff>
      <xdr:row>18</xdr:row>
      <xdr:rowOff>106379</xdr:rowOff>
    </xdr:to>
    <mc:AlternateContent xmlns:mc="http://schemas.openxmlformats.org/markup-compatibility/2006" xmlns:a14="http://schemas.microsoft.com/office/drawing/2010/main">
      <mc:Choice Requires="a14">
        <xdr:graphicFrame macro="">
          <xdr:nvGraphicFramePr>
            <xdr:cNvPr id="7" name="Sales Person">
              <a:extLst>
                <a:ext uri="{FF2B5EF4-FFF2-40B4-BE49-F238E27FC236}">
                  <a16:creationId xmlns:a16="http://schemas.microsoft.com/office/drawing/2014/main" id="{A0FCDE9F-65E3-4C8D-0E5D-7E8D94CA2C79}"/>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6282890" y="845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72189</xdr:colOff>
      <xdr:row>5</xdr:row>
      <xdr:rowOff>1203</xdr:rowOff>
    </xdr:from>
    <xdr:to>
      <xdr:col>13</xdr:col>
      <xdr:colOff>1018673</xdr:colOff>
      <xdr:row>18</xdr:row>
      <xdr:rowOff>184183</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18E9148A-FBE7-33C3-29C1-9C074F83146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721515" y="923624"/>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249856</xdr:colOff>
      <xdr:row>7</xdr:row>
      <xdr:rowOff>34492</xdr:rowOff>
    </xdr:from>
    <xdr:to>
      <xdr:col>10</xdr:col>
      <xdr:colOff>280737</xdr:colOff>
      <xdr:row>12</xdr:row>
      <xdr:rowOff>64168</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74F6FE7A-01A1-A00A-698D-F27A43CB60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82740" y="1325881"/>
              <a:ext cx="2028123" cy="952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huja.S Indhu" refreshedDate="45955.313682060187" createdVersion="8" refreshedVersion="8" minRefreshableVersion="3" recordCount="50" xr:uid="{7BD7E0FD-2F78-4548-939A-36FDD31D1545}">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6">
        <s v="West"/>
        <s v="East"/>
        <s v="South"/>
        <s v="North"/>
        <s v="Formula1" f="1"/>
        <s v="Formula2" f="1"/>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calculatedItems count="2">
    <calculatedItem>
      <pivotArea cacheIndex="1" outline="0" fieldPosition="0">
        <references count="1">
          <reference field="2" count="1">
            <x v="4"/>
          </reference>
        </references>
      </pivotArea>
    </calculatedItem>
    <calculatedItem>
      <pivotArea cacheIndex="1" outline="0" fieldPosition="0">
        <references count="1">
          <reference field="2" count="1">
            <x v="5"/>
          </reference>
        </references>
      </pivotArea>
    </calculatedItem>
  </calculatedItems>
  <extLst>
    <ext xmlns:x14="http://schemas.microsoft.com/office/spreadsheetml/2009/9/main" uri="{725AE2AE-9491-48be-B2B4-4EB974FC3084}">
      <x14:pivotCacheDefinition pivotCacheId="2002171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CDE642-E311-4BB1-A9D7-6F9447E1915D}" name="PivotTable1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M3:N11" firstHeaderRow="1" firstDataRow="1" firstDataCol="1"/>
  <pivotFields count="9">
    <pivotField numFmtId="14" showAll="0"/>
    <pivotField showAll="0"/>
    <pivotField showAll="0" defaultSubtotal="0">
      <items count="6">
        <item x="1"/>
        <item x="3"/>
        <item x="2"/>
        <item h="1" f="1" x="4"/>
        <item h="1" f="1" x="5"/>
        <item x="0"/>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3">
    <chartFormat chart="1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E6A0DB-301C-4D32-89F3-BEF3272921B4}" name="PivotTable1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J14" firstHeaderRow="1" firstDataRow="1" firstDataCol="1"/>
  <pivotFields count="9">
    <pivotField numFmtId="14" showAll="0"/>
    <pivotField axis="axisRow" showAll="0">
      <items count="11">
        <item x="0"/>
        <item x="8"/>
        <item x="3"/>
        <item x="5"/>
        <item x="7"/>
        <item x="2"/>
        <item x="1"/>
        <item x="4"/>
        <item x="9"/>
        <item x="6"/>
        <item t="default"/>
      </items>
    </pivotField>
    <pivotField showAll="0" defaultSubtotal="0">
      <items count="6">
        <item x="1"/>
        <item x="3"/>
        <item x="2"/>
        <item h="1" f="1" x="4"/>
        <item h="1" f="1" x="5"/>
        <item x="0"/>
      </items>
    </pivotField>
    <pivotField showAll="0"/>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4"/>
  </dataFields>
  <chartFormats count="7">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6"/>
          </reference>
        </references>
      </pivotArea>
    </chartFormat>
    <chartFormat chart="7" format="2">
      <pivotArea type="data" outline="0" fieldPosition="0">
        <references count="2">
          <reference field="4294967294" count="1" selected="0">
            <x v="0"/>
          </reference>
          <reference field="1" count="1" selected="0">
            <x v="3"/>
          </reference>
        </references>
      </pivotArea>
    </chartFormat>
    <chartFormat chart="7" format="3">
      <pivotArea type="data" outline="0" fieldPosition="0">
        <references count="2">
          <reference field="4294967294" count="1" selected="0">
            <x v="0"/>
          </reference>
          <reference field="1"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 count="1" selected="0">
            <x v="3"/>
          </reference>
        </references>
      </pivotArea>
    </chartFormat>
    <chartFormat chart="9" format="9">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900AD4-CB2B-4911-8EBE-29C5901E514A}" name="PivotTable1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11" firstHeaderRow="1" firstDataRow="1" firstDataCol="1"/>
  <pivotFields count="9">
    <pivotField numFmtId="14" showAll="0"/>
    <pivotField showAll="0"/>
    <pivotField showAll="0" defaultSubtotal="0">
      <items count="6">
        <item x="1"/>
        <item x="3"/>
        <item x="2"/>
        <item h="1" f="1" x="4"/>
        <item h="1" f="1" x="5"/>
        <item x="0"/>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0" baseItem="0" numFmtId="164"/>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6"/>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34EAC7-2C8C-4595-9E37-0BDF82A40F07}" name="PivotTable10"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9">
    <pivotField numFmtId="14" showAll="0"/>
    <pivotField showAll="0">
      <items count="11">
        <item x="0"/>
        <item x="8"/>
        <item x="3"/>
        <item x="5"/>
        <item x="7"/>
        <item x="2"/>
        <item x="1"/>
        <item x="4"/>
        <item x="9"/>
        <item x="6"/>
        <item t="default"/>
      </items>
    </pivotField>
    <pivotField axis="axisRow" showAll="0" defaultSubtotal="0">
      <items count="6">
        <item x="1"/>
        <item h="1" x="3"/>
        <item h="1" x="2"/>
        <item h="1" x="0"/>
        <item h="1" f="1" x="5"/>
        <item n="Formula1" h="1" f="1" x="4"/>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2">
    <i>
      <x/>
    </i>
    <i t="grand">
      <x/>
    </i>
  </rowItems>
  <colItems count="1">
    <i/>
  </colItems>
  <dataFields count="1">
    <dataField name="Sum of Total Sales" fld="7" baseField="2"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1"/>
          </reference>
        </references>
      </pivotArea>
    </chartFormat>
    <chartFormat chart="2" format="15">
      <pivotArea type="data" outline="0" fieldPosition="0">
        <references count="2">
          <reference field="4294967294" count="1" selected="0">
            <x v="0"/>
          </reference>
          <reference field="2" count="1" selected="0">
            <x v="2"/>
          </reference>
        </references>
      </pivotArea>
    </chartFormat>
    <chartFormat chart="2" format="16">
      <pivotArea type="data" outline="0" fieldPosition="0">
        <references count="2">
          <reference field="4294967294" count="1" selected="0">
            <x v="0"/>
          </reference>
          <reference field="2" count="1" selected="0">
            <x v="3"/>
          </reference>
        </references>
      </pivotArea>
    </chartFormat>
    <chartFormat chart="2" format="17">
      <pivotArea type="data" outline="0" fieldPosition="0">
        <references count="2">
          <reference field="4294967294" count="1" selected="0">
            <x v="0"/>
          </reference>
          <reference field="2" count="1" selected="0">
            <x v="4"/>
          </reference>
        </references>
      </pivotArea>
    </chartFormat>
    <chartFormat chart="2" format="18">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BF37FA45-57EA-473B-8C20-220AC28E00F7}" sourceName="Sales Person">
  <pivotTables>
    <pivotTable tabId="6" name="PivotTable10"/>
  </pivotTables>
  <data>
    <tabular pivotCacheId="2002171333">
      <items count="10">
        <i x="0" s="1"/>
        <i x="8" s="1"/>
        <i x="3" s="1"/>
        <i x="5" s="1"/>
        <i x="2" s="1"/>
        <i x="1" s="1"/>
        <i x="9" s="1"/>
        <i x="7" s="1" nd="1"/>
        <i x="4"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373AB6F-1CCF-4633-9736-5F25E0E8B554}" sourceName="Product">
  <pivotTables>
    <pivotTable tabId="6" name="PivotTable10"/>
  </pivotTables>
  <data>
    <tabular pivotCacheId="2002171333">
      <items count="7">
        <i x="2" s="1"/>
        <i x="1" s="1"/>
        <i x="5" s="1"/>
        <i x="6" s="1"/>
        <i x="4"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C3FCBF-EF9F-46C6-BFF6-3A7C4354BF43}" sourceName="Region">
  <pivotTables>
    <pivotTable tabId="6" name="PivotTable10"/>
  </pivotTables>
  <data>
    <tabular pivotCacheId="2002171333">
      <items count="6">
        <i x="1" s="1"/>
        <i x="4"/>
        <i x="5"/>
        <i x="3"/>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FE0F3A13-7630-4F07-81C7-97D5F19AE325}" cache="Slicer_Sales_Person" caption="Sales Person" style="SlicerStyleDark6" rowHeight="247650"/>
  <slicer name="Product 1" xr10:uid="{124F7D5D-C2D4-44F9-8329-A5ABB28524B6}" cache="Slicer_Product" caption="Product" style="SlicerStyleDark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38D871CE-FC37-4D47-A280-5B9B055B3897}" cache="Slicer_Sales_Person" caption="Sales Person" rowHeight="247650"/>
  <slicer name="Product" xr10:uid="{38A728E7-7C0E-4D95-92D0-880C58739EF8}" cache="Slicer_Product" caption="Product" rowHeight="247650"/>
  <slicer name="Region" xr10:uid="{21162E23-4CB8-4343-A47C-CCF581193BF0}" cache="Slicer_Region" caption="Region" columnCount="2" showCaption="0"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01C27D-D2B0-4451-837D-0F2A5E343A7F}" name="Table1" displayName="Table1" ref="A1:I51" totalsRowShown="0" headerRowDxfId="8" dataDxfId="6" headerRowBorderDxfId="7" dataCellStyle="Currency [0]">
  <autoFilter ref="A1:I51" xr:uid="{6101C27D-D2B0-4451-837D-0F2A5E343A7F}"/>
  <tableColumns count="9">
    <tableColumn id="1" xr3:uid="{87660BF7-542B-4561-8541-864E5FCAD59C}" name="Date" dataDxfId="5"/>
    <tableColumn id="2" xr3:uid="{BE7C97BF-8B20-4572-BF5B-0497E2124B79}" name="Sales Person"/>
    <tableColumn id="3" xr3:uid="{87949D24-F8B5-4C87-A605-7158224D7C0B}" name="Region"/>
    <tableColumn id="4" xr3:uid="{65B8E98E-183A-4D09-9453-FCAC6FC47976}" name="Product"/>
    <tableColumn id="5" xr3:uid="{3A4B82AA-1D42-4E40-A56F-A5CFD779617A}" name="Units Sold" dataDxfId="4"/>
    <tableColumn id="6" xr3:uid="{F43E751A-1292-40A4-9DC5-A7EDE6C19AFA}" name="Unit Price" dataDxfId="3" dataCellStyle="Currency [0]">
      <calculatedColumnFormula>IF(D2="Tent",6000,IF(D2="Blender",3500,IF(D2="Action Figure",1200,IF(D2="Novel",1000,IF(D2="Sneakers",4000,IF(D2="Smartphone",10000,IF(D2="moisturizer",600,"No Product Found")))))))</calculatedColumnFormula>
    </tableColumn>
    <tableColumn id="7" xr3:uid="{433D94C7-9611-4099-A2F5-74F052818238}" name="Cost of Goods" dataDxfId="2" dataCellStyle="Currency [0]">
      <calculatedColumnFormula>IF(D2="Tent",4000,IF(D2="Blender",2500,IF(D2="Action Figure",800,IF(D2="Novel",700,IF(D2="Sneakers",3000,IF(D2="Smartphone",7000,IF(D2="moisturizer",400,"No Product Found")))))))</calculatedColumnFormula>
    </tableColumn>
    <tableColumn id="8" xr3:uid="{41D5ECBB-B09C-4037-9CB7-DDC61337395F}" name="Total Sales" dataDxfId="1" dataCellStyle="Currency [0]">
      <calculatedColumnFormula>F2*E2</calculatedColumnFormula>
    </tableColumn>
    <tableColumn id="9" xr3:uid="{C85385BD-1CF3-44AD-A818-F75B0E022604}" name="Profit"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14A07-E884-47D5-BD8F-CA3B42760729}">
  <dimension ref="C7:F14"/>
  <sheetViews>
    <sheetView tabSelected="1" zoomScale="75" workbookViewId="0">
      <selection activeCell="T18" sqref="T18"/>
    </sheetView>
  </sheetViews>
  <sheetFormatPr defaultRowHeight="14.4" x14ac:dyDescent="0.3"/>
  <sheetData>
    <row r="7" spans="3:6" x14ac:dyDescent="0.3">
      <c r="F7" t="s">
        <v>56</v>
      </c>
    </row>
    <row r="14" spans="3:6" x14ac:dyDescent="0.3">
      <c r="C14" t="s">
        <v>55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0D679-C141-4C27-BC6E-98F0A348F999}">
  <dimension ref="A3:N14"/>
  <sheetViews>
    <sheetView topLeftCell="B7" zoomScale="95" workbookViewId="0">
      <selection activeCell="M5" sqref="M5"/>
    </sheetView>
  </sheetViews>
  <sheetFormatPr defaultRowHeight="14.4" x14ac:dyDescent="0.3"/>
  <cols>
    <col min="1" max="1" width="12.88671875" bestFit="1" customWidth="1"/>
    <col min="2" max="2" width="16.21875" bestFit="1" customWidth="1"/>
    <col min="5" max="5" width="12.88671875" bestFit="1" customWidth="1"/>
    <col min="6" max="6" width="16.21875" bestFit="1" customWidth="1"/>
    <col min="9" max="9" width="12.88671875" bestFit="1" customWidth="1"/>
    <col min="10" max="10" width="16.21875" bestFit="1" customWidth="1"/>
    <col min="13" max="13" width="12.88671875" bestFit="1" customWidth="1"/>
    <col min="14" max="14" width="15.6640625" bestFit="1" customWidth="1"/>
  </cols>
  <sheetData>
    <row r="3" spans="1:14" x14ac:dyDescent="0.3">
      <c r="A3" s="7" t="s">
        <v>35</v>
      </c>
      <c r="B3" t="s">
        <v>34</v>
      </c>
      <c r="E3" s="7" t="s">
        <v>35</v>
      </c>
      <c r="F3" t="s">
        <v>34</v>
      </c>
      <c r="I3" s="7" t="s">
        <v>35</v>
      </c>
      <c r="J3" t="s">
        <v>34</v>
      </c>
      <c r="M3" s="7" t="s">
        <v>35</v>
      </c>
      <c r="N3" t="s">
        <v>36</v>
      </c>
    </row>
    <row r="4" spans="1:14" x14ac:dyDescent="0.3">
      <c r="A4" s="3" t="s">
        <v>12</v>
      </c>
      <c r="B4" s="5">
        <v>3534400</v>
      </c>
      <c r="E4" s="3" t="s">
        <v>16</v>
      </c>
      <c r="F4" s="5">
        <v>547200</v>
      </c>
      <c r="I4" s="3" t="s">
        <v>8</v>
      </c>
      <c r="J4" s="5">
        <v>1591600</v>
      </c>
      <c r="M4" s="3" t="s">
        <v>16</v>
      </c>
      <c r="N4">
        <v>456</v>
      </c>
    </row>
    <row r="5" spans="1:14" x14ac:dyDescent="0.3">
      <c r="A5" s="3" t="s">
        <v>30</v>
      </c>
      <c r="B5" s="5">
        <v>3534400</v>
      </c>
      <c r="E5" s="3" t="s">
        <v>13</v>
      </c>
      <c r="F5" s="5">
        <v>2222500</v>
      </c>
      <c r="I5" s="3" t="s">
        <v>25</v>
      </c>
      <c r="J5" s="5">
        <v>677600</v>
      </c>
      <c r="M5" s="3" t="s">
        <v>13</v>
      </c>
      <c r="N5">
        <v>635</v>
      </c>
    </row>
    <row r="6" spans="1:14" x14ac:dyDescent="0.3">
      <c r="E6" s="3" t="s">
        <v>26</v>
      </c>
      <c r="F6" s="5">
        <v>706800</v>
      </c>
      <c r="I6" s="3" t="s">
        <v>17</v>
      </c>
      <c r="J6" s="5">
        <v>1957000</v>
      </c>
      <c r="M6" s="3" t="s">
        <v>26</v>
      </c>
      <c r="N6">
        <v>1178</v>
      </c>
    </row>
    <row r="7" spans="1:14" x14ac:dyDescent="0.3">
      <c r="E7" s="3" t="s">
        <v>19</v>
      </c>
      <c r="F7" s="5">
        <v>898000</v>
      </c>
      <c r="I7" s="3" t="s">
        <v>22</v>
      </c>
      <c r="J7" s="5">
        <v>1661400</v>
      </c>
      <c r="M7" s="3" t="s">
        <v>19</v>
      </c>
      <c r="N7">
        <v>898</v>
      </c>
    </row>
    <row r="8" spans="1:14" x14ac:dyDescent="0.3">
      <c r="E8" s="3" t="s">
        <v>28</v>
      </c>
      <c r="F8" s="5">
        <v>2350000</v>
      </c>
      <c r="I8" s="3" t="s">
        <v>24</v>
      </c>
      <c r="J8" s="5">
        <v>1741200</v>
      </c>
      <c r="M8" s="3" t="s">
        <v>28</v>
      </c>
      <c r="N8">
        <v>235</v>
      </c>
    </row>
    <row r="9" spans="1:14" x14ac:dyDescent="0.3">
      <c r="E9" s="3" t="s">
        <v>21</v>
      </c>
      <c r="F9" s="5">
        <v>3196000</v>
      </c>
      <c r="I9" s="3" t="s">
        <v>14</v>
      </c>
      <c r="J9" s="5">
        <v>1110000</v>
      </c>
      <c r="M9" s="3" t="s">
        <v>21</v>
      </c>
      <c r="N9">
        <v>799</v>
      </c>
    </row>
    <row r="10" spans="1:14" x14ac:dyDescent="0.3">
      <c r="E10" s="3" t="s">
        <v>10</v>
      </c>
      <c r="F10" s="5">
        <v>3024000</v>
      </c>
      <c r="I10" s="3" t="s">
        <v>11</v>
      </c>
      <c r="J10" s="5">
        <v>1777400</v>
      </c>
      <c r="M10" s="3" t="s">
        <v>10</v>
      </c>
      <c r="N10">
        <v>504</v>
      </c>
    </row>
    <row r="11" spans="1:14" x14ac:dyDescent="0.3">
      <c r="E11" s="3" t="s">
        <v>30</v>
      </c>
      <c r="F11" s="5">
        <v>12944500</v>
      </c>
      <c r="I11" s="3" t="s">
        <v>20</v>
      </c>
      <c r="J11" s="5">
        <v>1065400</v>
      </c>
      <c r="M11" s="3" t="s">
        <v>30</v>
      </c>
      <c r="N11">
        <v>4705</v>
      </c>
    </row>
    <row r="12" spans="1:14" x14ac:dyDescent="0.3">
      <c r="I12" s="3" t="s">
        <v>27</v>
      </c>
      <c r="J12" s="5">
        <v>784400</v>
      </c>
    </row>
    <row r="13" spans="1:14" x14ac:dyDescent="0.3">
      <c r="I13" s="3" t="s">
        <v>23</v>
      </c>
      <c r="J13" s="5">
        <v>578500</v>
      </c>
    </row>
    <row r="14" spans="1:14" x14ac:dyDescent="0.3">
      <c r="I14" s="3" t="s">
        <v>30</v>
      </c>
      <c r="J14" s="5">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51"/>
  <sheetViews>
    <sheetView workbookViewId="0">
      <selection activeCell="K8" sqref="K8"/>
    </sheetView>
  </sheetViews>
  <sheetFormatPr defaultRowHeight="14.4" x14ac:dyDescent="0.3"/>
  <cols>
    <col min="1" max="1" width="12.88671875" customWidth="1"/>
    <col min="2" max="2" width="13.44140625" customWidth="1"/>
    <col min="4" max="4" width="15.6640625" customWidth="1"/>
    <col min="5" max="5" width="11.33203125" customWidth="1"/>
    <col min="6" max="6" width="11" customWidth="1"/>
    <col min="7" max="7" width="14.21875" customWidth="1"/>
    <col min="8" max="9" width="13.5546875" customWidth="1"/>
    <col min="10" max="10" width="12.21875" bestFit="1" customWidth="1"/>
    <col min="11" max="11" width="14.21875" customWidth="1"/>
  </cols>
  <sheetData>
    <row r="1" spans="1:11" ht="20.100000000000001" customHeight="1" thickBot="1" x14ac:dyDescent="0.35">
      <c r="A1" s="1" t="s">
        <v>0</v>
      </c>
      <c r="B1" s="1" t="s">
        <v>1</v>
      </c>
      <c r="C1" s="1" t="s">
        <v>2</v>
      </c>
      <c r="D1" s="1" t="s">
        <v>3</v>
      </c>
      <c r="E1" s="1" t="s">
        <v>4</v>
      </c>
      <c r="F1" s="1" t="s">
        <v>5</v>
      </c>
      <c r="G1" s="1" t="s">
        <v>6</v>
      </c>
      <c r="H1" s="1" t="s">
        <v>7</v>
      </c>
      <c r="I1" s="1" t="s">
        <v>29</v>
      </c>
      <c r="K1" s="6" t="s">
        <v>30</v>
      </c>
    </row>
    <row r="2" spans="1:11" ht="15" thickTop="1" x14ac:dyDescent="0.3">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5">
        <f>H2-(G2*E2)</f>
        <v>168000</v>
      </c>
      <c r="K2" s="17">
        <f>SUM(Table1[Total Sales])</f>
        <v>12944500</v>
      </c>
    </row>
    <row r="3" spans="1:11" x14ac:dyDescent="0.3">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5">
        <f t="shared" ref="I3:I51" si="3">H3-(G3*E3)</f>
        <v>128000</v>
      </c>
      <c r="K3" s="6" t="s">
        <v>31</v>
      </c>
    </row>
    <row r="4" spans="1:11" x14ac:dyDescent="0.3">
      <c r="A4" s="2">
        <v>44230</v>
      </c>
      <c r="B4" t="s">
        <v>14</v>
      </c>
      <c r="C4" t="s">
        <v>15</v>
      </c>
      <c r="D4" t="s">
        <v>16</v>
      </c>
      <c r="E4" s="3">
        <v>136</v>
      </c>
      <c r="F4" s="4">
        <f t="shared" si="0"/>
        <v>1200</v>
      </c>
      <c r="G4" s="4">
        <f t="shared" si="1"/>
        <v>800</v>
      </c>
      <c r="H4" s="4">
        <f t="shared" si="2"/>
        <v>163200</v>
      </c>
      <c r="I4" s="5">
        <f t="shared" si="3"/>
        <v>54400</v>
      </c>
      <c r="K4">
        <f>SUM(E2:E51)</f>
        <v>4705</v>
      </c>
    </row>
    <row r="5" spans="1:11" x14ac:dyDescent="0.3">
      <c r="A5" s="2">
        <v>44085</v>
      </c>
      <c r="B5" t="s">
        <v>17</v>
      </c>
      <c r="C5" t="s">
        <v>18</v>
      </c>
      <c r="D5" t="s">
        <v>19</v>
      </c>
      <c r="E5" s="3">
        <v>91</v>
      </c>
      <c r="F5" s="4">
        <f t="shared" si="0"/>
        <v>1000</v>
      </c>
      <c r="G5" s="4">
        <f t="shared" si="1"/>
        <v>700</v>
      </c>
      <c r="H5" s="4">
        <f t="shared" si="2"/>
        <v>91000</v>
      </c>
      <c r="I5" s="5">
        <f t="shared" si="3"/>
        <v>27300</v>
      </c>
      <c r="K5" s="6" t="s">
        <v>32</v>
      </c>
    </row>
    <row r="6" spans="1:11" x14ac:dyDescent="0.3">
      <c r="A6" s="2">
        <v>44462</v>
      </c>
      <c r="B6" t="s">
        <v>20</v>
      </c>
      <c r="C6" t="s">
        <v>9</v>
      </c>
      <c r="D6" t="s">
        <v>21</v>
      </c>
      <c r="E6" s="3">
        <v>110</v>
      </c>
      <c r="F6" s="4">
        <f t="shared" si="0"/>
        <v>4000</v>
      </c>
      <c r="G6" s="4">
        <f t="shared" si="1"/>
        <v>3000</v>
      </c>
      <c r="H6" s="4">
        <f t="shared" si="2"/>
        <v>440000</v>
      </c>
      <c r="I6" s="5">
        <f t="shared" si="3"/>
        <v>110000</v>
      </c>
      <c r="K6" s="17">
        <f>SUM(I2:I51)</f>
        <v>3834400</v>
      </c>
    </row>
    <row r="7" spans="1:11" x14ac:dyDescent="0.3">
      <c r="A7" s="2">
        <v>44105</v>
      </c>
      <c r="B7" t="s">
        <v>22</v>
      </c>
      <c r="C7" t="s">
        <v>12</v>
      </c>
      <c r="D7" t="s">
        <v>16</v>
      </c>
      <c r="E7" s="3">
        <v>51</v>
      </c>
      <c r="F7" s="4">
        <f t="shared" si="0"/>
        <v>1200</v>
      </c>
      <c r="G7" s="4">
        <f t="shared" si="1"/>
        <v>800</v>
      </c>
      <c r="H7" s="4">
        <f t="shared" si="2"/>
        <v>61200</v>
      </c>
      <c r="I7" s="5">
        <f t="shared" si="3"/>
        <v>20400</v>
      </c>
      <c r="K7" s="6" t="s">
        <v>33</v>
      </c>
    </row>
    <row r="8" spans="1:11" x14ac:dyDescent="0.3">
      <c r="A8" s="2">
        <v>44413</v>
      </c>
      <c r="B8" t="s">
        <v>23</v>
      </c>
      <c r="C8" t="s">
        <v>18</v>
      </c>
      <c r="D8" t="s">
        <v>19</v>
      </c>
      <c r="E8" s="3">
        <v>78</v>
      </c>
      <c r="F8" s="4">
        <f t="shared" si="0"/>
        <v>1000</v>
      </c>
      <c r="G8" s="4">
        <f t="shared" si="1"/>
        <v>700</v>
      </c>
      <c r="H8" s="4">
        <f t="shared" si="2"/>
        <v>78000</v>
      </c>
      <c r="I8" s="5">
        <f t="shared" si="3"/>
        <v>23400</v>
      </c>
      <c r="K8" s="17">
        <f>AVERAGE(H2:H51)</f>
        <v>258890</v>
      </c>
    </row>
    <row r="9" spans="1:11" x14ac:dyDescent="0.3">
      <c r="A9" s="2">
        <v>44141</v>
      </c>
      <c r="B9" t="s">
        <v>24</v>
      </c>
      <c r="C9" t="s">
        <v>15</v>
      </c>
      <c r="D9" t="s">
        <v>10</v>
      </c>
      <c r="E9" s="3">
        <v>146</v>
      </c>
      <c r="F9" s="4">
        <f t="shared" si="0"/>
        <v>6000</v>
      </c>
      <c r="G9" s="4">
        <f t="shared" si="1"/>
        <v>4000</v>
      </c>
      <c r="H9" s="4">
        <f t="shared" si="2"/>
        <v>876000</v>
      </c>
      <c r="I9" s="5">
        <f t="shared" si="3"/>
        <v>292000</v>
      </c>
    </row>
    <row r="10" spans="1:11" x14ac:dyDescent="0.3">
      <c r="A10" s="2">
        <v>44223</v>
      </c>
      <c r="B10" t="s">
        <v>25</v>
      </c>
      <c r="C10" t="s">
        <v>9</v>
      </c>
      <c r="D10" t="s">
        <v>26</v>
      </c>
      <c r="E10" s="3">
        <v>101</v>
      </c>
      <c r="F10" s="4">
        <f t="shared" si="0"/>
        <v>600</v>
      </c>
      <c r="G10" s="4">
        <f t="shared" si="1"/>
        <v>400</v>
      </c>
      <c r="H10" s="4">
        <f t="shared" si="2"/>
        <v>60600</v>
      </c>
      <c r="I10" s="5">
        <f t="shared" si="3"/>
        <v>20200</v>
      </c>
    </row>
    <row r="11" spans="1:11" x14ac:dyDescent="0.3">
      <c r="A11" s="2">
        <v>44442</v>
      </c>
      <c r="B11" t="s">
        <v>27</v>
      </c>
      <c r="C11" t="s">
        <v>15</v>
      </c>
      <c r="D11" t="s">
        <v>10</v>
      </c>
      <c r="E11" s="3">
        <v>52</v>
      </c>
      <c r="F11" s="4">
        <f t="shared" si="0"/>
        <v>6000</v>
      </c>
      <c r="G11" s="4">
        <f t="shared" si="1"/>
        <v>4000</v>
      </c>
      <c r="H11" s="4">
        <f t="shared" si="2"/>
        <v>312000</v>
      </c>
      <c r="I11" s="5">
        <f t="shared" si="3"/>
        <v>104000</v>
      </c>
    </row>
    <row r="12" spans="1:11" x14ac:dyDescent="0.3">
      <c r="A12" s="2">
        <v>44469</v>
      </c>
      <c r="B12" t="s">
        <v>27</v>
      </c>
      <c r="C12" t="s">
        <v>12</v>
      </c>
      <c r="D12" t="s">
        <v>16</v>
      </c>
      <c r="E12" s="3">
        <v>55</v>
      </c>
      <c r="F12" s="4">
        <f t="shared" si="0"/>
        <v>1200</v>
      </c>
      <c r="G12" s="4">
        <f t="shared" si="1"/>
        <v>800</v>
      </c>
      <c r="H12" s="4">
        <f t="shared" si="2"/>
        <v>66000</v>
      </c>
      <c r="I12" s="5">
        <f t="shared" si="3"/>
        <v>22000</v>
      </c>
    </row>
    <row r="13" spans="1:11" x14ac:dyDescent="0.3">
      <c r="A13" s="2">
        <v>44084</v>
      </c>
      <c r="B13" t="s">
        <v>27</v>
      </c>
      <c r="C13" t="s">
        <v>15</v>
      </c>
      <c r="D13" t="s">
        <v>19</v>
      </c>
      <c r="E13" s="3">
        <v>137</v>
      </c>
      <c r="F13" s="4">
        <f t="shared" si="0"/>
        <v>1000</v>
      </c>
      <c r="G13" s="4">
        <f t="shared" si="1"/>
        <v>700</v>
      </c>
      <c r="H13" s="4">
        <f t="shared" si="2"/>
        <v>137000</v>
      </c>
      <c r="I13" s="5">
        <f t="shared" si="3"/>
        <v>41100</v>
      </c>
    </row>
    <row r="14" spans="1:11" x14ac:dyDescent="0.3">
      <c r="A14" s="2">
        <v>44404</v>
      </c>
      <c r="B14" t="s">
        <v>24</v>
      </c>
      <c r="C14" t="s">
        <v>15</v>
      </c>
      <c r="D14" t="s">
        <v>13</v>
      </c>
      <c r="E14" s="3">
        <v>96</v>
      </c>
      <c r="F14" s="4">
        <f t="shared" si="0"/>
        <v>3500</v>
      </c>
      <c r="G14" s="4">
        <f t="shared" si="1"/>
        <v>2500</v>
      </c>
      <c r="H14" s="4">
        <f t="shared" si="2"/>
        <v>336000</v>
      </c>
      <c r="I14" s="5">
        <f t="shared" si="3"/>
        <v>96000</v>
      </c>
    </row>
    <row r="15" spans="1:11" x14ac:dyDescent="0.3">
      <c r="A15" s="2">
        <v>44113</v>
      </c>
      <c r="B15" t="s">
        <v>25</v>
      </c>
      <c r="C15" t="s">
        <v>12</v>
      </c>
      <c r="D15" t="s">
        <v>21</v>
      </c>
      <c r="E15" s="3">
        <v>52</v>
      </c>
      <c r="F15" s="4">
        <f t="shared" si="0"/>
        <v>4000</v>
      </c>
      <c r="G15" s="4">
        <f t="shared" si="1"/>
        <v>3000</v>
      </c>
      <c r="H15" s="4">
        <f t="shared" si="2"/>
        <v>208000</v>
      </c>
      <c r="I15" s="5">
        <f t="shared" si="3"/>
        <v>52000</v>
      </c>
    </row>
    <row r="16" spans="1:11" x14ac:dyDescent="0.3">
      <c r="A16" s="2">
        <v>44292</v>
      </c>
      <c r="B16" t="s">
        <v>17</v>
      </c>
      <c r="C16" t="s">
        <v>9</v>
      </c>
      <c r="D16" t="s">
        <v>13</v>
      </c>
      <c r="E16" s="3">
        <v>76</v>
      </c>
      <c r="F16" s="4">
        <f t="shared" si="0"/>
        <v>3500</v>
      </c>
      <c r="G16" s="4">
        <f t="shared" si="1"/>
        <v>2500</v>
      </c>
      <c r="H16" s="4">
        <f t="shared" si="2"/>
        <v>266000</v>
      </c>
      <c r="I16" s="5">
        <f t="shared" si="3"/>
        <v>76000</v>
      </c>
    </row>
    <row r="17" spans="1:9" x14ac:dyDescent="0.3">
      <c r="A17" s="2">
        <v>44362</v>
      </c>
      <c r="B17" t="s">
        <v>11</v>
      </c>
      <c r="C17" t="s">
        <v>18</v>
      </c>
      <c r="D17" t="s">
        <v>21</v>
      </c>
      <c r="E17" s="3">
        <v>145</v>
      </c>
      <c r="F17" s="4">
        <f t="shared" si="0"/>
        <v>4000</v>
      </c>
      <c r="G17" s="4">
        <f t="shared" si="1"/>
        <v>3000</v>
      </c>
      <c r="H17" s="4">
        <f t="shared" si="2"/>
        <v>580000</v>
      </c>
      <c r="I17" s="5">
        <f t="shared" si="3"/>
        <v>145000</v>
      </c>
    </row>
    <row r="18" spans="1:9" x14ac:dyDescent="0.3">
      <c r="A18" s="2">
        <v>44083</v>
      </c>
      <c r="B18" t="s">
        <v>8</v>
      </c>
      <c r="C18" t="s">
        <v>15</v>
      </c>
      <c r="D18" t="s">
        <v>26</v>
      </c>
      <c r="E18" s="3">
        <v>83</v>
      </c>
      <c r="F18" s="4">
        <f t="shared" si="0"/>
        <v>600</v>
      </c>
      <c r="G18" s="4">
        <f t="shared" si="1"/>
        <v>400</v>
      </c>
      <c r="H18" s="4">
        <f t="shared" si="2"/>
        <v>49800</v>
      </c>
      <c r="I18" s="5">
        <f t="shared" si="3"/>
        <v>16600</v>
      </c>
    </row>
    <row r="19" spans="1:9" x14ac:dyDescent="0.3">
      <c r="A19" s="2">
        <v>44421</v>
      </c>
      <c r="B19" t="s">
        <v>20</v>
      </c>
      <c r="C19" t="s">
        <v>15</v>
      </c>
      <c r="D19" t="s">
        <v>19</v>
      </c>
      <c r="E19" s="3">
        <v>91</v>
      </c>
      <c r="F19" s="4">
        <f t="shared" si="0"/>
        <v>1000</v>
      </c>
      <c r="G19" s="4">
        <f t="shared" si="1"/>
        <v>700</v>
      </c>
      <c r="H19" s="4">
        <f t="shared" si="2"/>
        <v>91000</v>
      </c>
      <c r="I19" s="5">
        <f t="shared" si="3"/>
        <v>27300</v>
      </c>
    </row>
    <row r="20" spans="1:9" x14ac:dyDescent="0.3">
      <c r="A20" s="2">
        <v>44070</v>
      </c>
      <c r="B20" t="s">
        <v>22</v>
      </c>
      <c r="C20" t="s">
        <v>9</v>
      </c>
      <c r="D20" t="s">
        <v>28</v>
      </c>
      <c r="E20" s="3">
        <v>108</v>
      </c>
      <c r="F20" s="4">
        <f t="shared" si="0"/>
        <v>10000</v>
      </c>
      <c r="G20" s="4">
        <f t="shared" si="1"/>
        <v>7000</v>
      </c>
      <c r="H20" s="4">
        <f t="shared" si="2"/>
        <v>1080000</v>
      </c>
      <c r="I20" s="5">
        <f t="shared" si="3"/>
        <v>324000</v>
      </c>
    </row>
    <row r="21" spans="1:9" x14ac:dyDescent="0.3">
      <c r="A21" s="2">
        <v>44293</v>
      </c>
      <c r="B21" t="s">
        <v>14</v>
      </c>
      <c r="C21" t="s">
        <v>18</v>
      </c>
      <c r="D21" t="s">
        <v>21</v>
      </c>
      <c r="E21" s="3">
        <v>144</v>
      </c>
      <c r="F21" s="4">
        <f t="shared" si="0"/>
        <v>4000</v>
      </c>
      <c r="G21" s="4">
        <f t="shared" si="1"/>
        <v>3000</v>
      </c>
      <c r="H21" s="4">
        <f t="shared" si="2"/>
        <v>576000</v>
      </c>
      <c r="I21" s="5">
        <f t="shared" si="3"/>
        <v>144000</v>
      </c>
    </row>
    <row r="22" spans="1:9" x14ac:dyDescent="0.3">
      <c r="A22" s="2">
        <v>43990</v>
      </c>
      <c r="B22" t="s">
        <v>20</v>
      </c>
      <c r="C22" t="s">
        <v>15</v>
      </c>
      <c r="D22" t="s">
        <v>26</v>
      </c>
      <c r="E22" s="3">
        <v>92</v>
      </c>
      <c r="F22" s="4">
        <f t="shared" si="0"/>
        <v>600</v>
      </c>
      <c r="G22" s="4">
        <f t="shared" si="1"/>
        <v>400</v>
      </c>
      <c r="H22" s="4">
        <f t="shared" si="2"/>
        <v>55200</v>
      </c>
      <c r="I22" s="5">
        <f t="shared" si="3"/>
        <v>18400</v>
      </c>
    </row>
    <row r="23" spans="1:9" x14ac:dyDescent="0.3">
      <c r="A23" s="2">
        <v>44551</v>
      </c>
      <c r="B23" t="s">
        <v>24</v>
      </c>
      <c r="C23" t="s">
        <v>9</v>
      </c>
      <c r="D23" t="s">
        <v>10</v>
      </c>
      <c r="E23" s="3">
        <v>71</v>
      </c>
      <c r="F23" s="4">
        <f t="shared" si="0"/>
        <v>6000</v>
      </c>
      <c r="G23" s="4">
        <f t="shared" si="1"/>
        <v>4000</v>
      </c>
      <c r="H23" s="4">
        <f t="shared" si="2"/>
        <v>426000</v>
      </c>
      <c r="I23" s="5">
        <f t="shared" si="3"/>
        <v>142000</v>
      </c>
    </row>
    <row r="24" spans="1:9" x14ac:dyDescent="0.3">
      <c r="A24" s="2">
        <v>44418</v>
      </c>
      <c r="B24" t="s">
        <v>8</v>
      </c>
      <c r="C24" t="s">
        <v>12</v>
      </c>
      <c r="D24" t="s">
        <v>26</v>
      </c>
      <c r="E24" s="3">
        <v>103</v>
      </c>
      <c r="F24" s="4">
        <f t="shared" si="0"/>
        <v>600</v>
      </c>
      <c r="G24" s="4">
        <f t="shared" si="1"/>
        <v>400</v>
      </c>
      <c r="H24" s="4">
        <f t="shared" si="2"/>
        <v>61800</v>
      </c>
      <c r="I24" s="5">
        <f t="shared" si="3"/>
        <v>20600</v>
      </c>
    </row>
    <row r="25" spans="1:9" x14ac:dyDescent="0.3">
      <c r="A25" s="2">
        <v>44532</v>
      </c>
      <c r="B25" t="s">
        <v>27</v>
      </c>
      <c r="C25" t="s">
        <v>18</v>
      </c>
      <c r="D25" t="s">
        <v>19</v>
      </c>
      <c r="E25" s="3">
        <v>55</v>
      </c>
      <c r="F25" s="4">
        <f t="shared" si="0"/>
        <v>1000</v>
      </c>
      <c r="G25" s="4">
        <f t="shared" si="1"/>
        <v>700</v>
      </c>
      <c r="H25" s="4">
        <f t="shared" si="2"/>
        <v>55000</v>
      </c>
      <c r="I25" s="5">
        <f t="shared" si="3"/>
        <v>16500</v>
      </c>
    </row>
    <row r="26" spans="1:9" x14ac:dyDescent="0.3">
      <c r="A26" s="2">
        <v>44438</v>
      </c>
      <c r="B26" t="s">
        <v>22</v>
      </c>
      <c r="C26" t="s">
        <v>12</v>
      </c>
      <c r="D26" t="s">
        <v>21</v>
      </c>
      <c r="E26" s="3">
        <v>93</v>
      </c>
      <c r="F26" s="4">
        <f t="shared" si="0"/>
        <v>4000</v>
      </c>
      <c r="G26" s="4">
        <f t="shared" si="1"/>
        <v>3000</v>
      </c>
      <c r="H26" s="4">
        <f t="shared" si="2"/>
        <v>372000</v>
      </c>
      <c r="I26" s="5">
        <f t="shared" si="3"/>
        <v>93000</v>
      </c>
    </row>
    <row r="27" spans="1:9" x14ac:dyDescent="0.3">
      <c r="A27" s="2">
        <v>43971</v>
      </c>
      <c r="B27" t="s">
        <v>14</v>
      </c>
      <c r="C27" t="s">
        <v>15</v>
      </c>
      <c r="D27" t="s">
        <v>26</v>
      </c>
      <c r="E27" s="3">
        <v>143</v>
      </c>
      <c r="F27" s="4">
        <f t="shared" si="0"/>
        <v>600</v>
      </c>
      <c r="G27" s="4">
        <f t="shared" si="1"/>
        <v>400</v>
      </c>
      <c r="H27" s="4">
        <f t="shared" si="2"/>
        <v>85800</v>
      </c>
      <c r="I27" s="5">
        <f t="shared" si="3"/>
        <v>28600</v>
      </c>
    </row>
    <row r="28" spans="1:9" x14ac:dyDescent="0.3">
      <c r="A28" s="2">
        <v>44452</v>
      </c>
      <c r="B28" t="s">
        <v>23</v>
      </c>
      <c r="C28" t="s">
        <v>9</v>
      </c>
      <c r="D28" t="s">
        <v>13</v>
      </c>
      <c r="E28" s="3">
        <v>143</v>
      </c>
      <c r="F28" s="4">
        <f t="shared" si="0"/>
        <v>3500</v>
      </c>
      <c r="G28" s="4">
        <f t="shared" si="1"/>
        <v>2500</v>
      </c>
      <c r="H28" s="4">
        <f t="shared" si="2"/>
        <v>500500</v>
      </c>
      <c r="I28" s="5">
        <f t="shared" si="3"/>
        <v>143000</v>
      </c>
    </row>
    <row r="29" spans="1:9" x14ac:dyDescent="0.3">
      <c r="A29" s="2">
        <v>44496</v>
      </c>
      <c r="B29" t="s">
        <v>25</v>
      </c>
      <c r="C29" t="s">
        <v>18</v>
      </c>
      <c r="D29" t="s">
        <v>26</v>
      </c>
      <c r="E29" s="3">
        <v>99</v>
      </c>
      <c r="F29" s="4">
        <f t="shared" si="0"/>
        <v>600</v>
      </c>
      <c r="G29" s="4">
        <f t="shared" si="1"/>
        <v>400</v>
      </c>
      <c r="H29" s="4">
        <f t="shared" si="2"/>
        <v>59400</v>
      </c>
      <c r="I29" s="5">
        <f t="shared" si="3"/>
        <v>19800</v>
      </c>
    </row>
    <row r="30" spans="1:9" x14ac:dyDescent="0.3">
      <c r="A30" s="2">
        <v>44187</v>
      </c>
      <c r="B30" t="s">
        <v>17</v>
      </c>
      <c r="C30" t="s">
        <v>9</v>
      </c>
      <c r="D30" t="s">
        <v>19</v>
      </c>
      <c r="E30" s="3">
        <v>120</v>
      </c>
      <c r="F30" s="4">
        <f t="shared" si="0"/>
        <v>1000</v>
      </c>
      <c r="G30" s="4">
        <f t="shared" si="1"/>
        <v>700</v>
      </c>
      <c r="H30" s="4">
        <f t="shared" si="2"/>
        <v>120000</v>
      </c>
      <c r="I30" s="5">
        <f t="shared" si="3"/>
        <v>36000</v>
      </c>
    </row>
    <row r="31" spans="1:9" x14ac:dyDescent="0.3">
      <c r="A31" s="2">
        <v>44405</v>
      </c>
      <c r="B31" t="s">
        <v>11</v>
      </c>
      <c r="C31" t="s">
        <v>15</v>
      </c>
      <c r="D31" t="s">
        <v>13</v>
      </c>
      <c r="E31" s="3">
        <v>66</v>
      </c>
      <c r="F31" s="4">
        <f t="shared" si="0"/>
        <v>3500</v>
      </c>
      <c r="G31" s="4">
        <f t="shared" si="1"/>
        <v>2500</v>
      </c>
      <c r="H31" s="4">
        <f t="shared" si="2"/>
        <v>231000</v>
      </c>
      <c r="I31" s="5">
        <f t="shared" si="3"/>
        <v>66000</v>
      </c>
    </row>
    <row r="32" spans="1:9" x14ac:dyDescent="0.3">
      <c r="A32" s="2">
        <v>44103</v>
      </c>
      <c r="B32" t="s">
        <v>25</v>
      </c>
      <c r="C32" t="s">
        <v>18</v>
      </c>
      <c r="D32" t="s">
        <v>16</v>
      </c>
      <c r="E32" s="3">
        <v>88</v>
      </c>
      <c r="F32" s="4">
        <f t="shared" si="0"/>
        <v>1200</v>
      </c>
      <c r="G32" s="4">
        <f t="shared" si="1"/>
        <v>800</v>
      </c>
      <c r="H32" s="4">
        <f t="shared" si="2"/>
        <v>105600</v>
      </c>
      <c r="I32" s="5">
        <f t="shared" si="3"/>
        <v>35200</v>
      </c>
    </row>
    <row r="33" spans="1:9" x14ac:dyDescent="0.3">
      <c r="A33" s="2">
        <v>44126</v>
      </c>
      <c r="B33" t="s">
        <v>17</v>
      </c>
      <c r="C33" t="s">
        <v>12</v>
      </c>
      <c r="D33" t="s">
        <v>28</v>
      </c>
      <c r="E33" s="3">
        <v>127</v>
      </c>
      <c r="F33" s="4">
        <f t="shared" si="0"/>
        <v>10000</v>
      </c>
      <c r="G33" s="4">
        <f t="shared" si="1"/>
        <v>7000</v>
      </c>
      <c r="H33" s="4">
        <f t="shared" si="2"/>
        <v>1270000</v>
      </c>
      <c r="I33" s="5">
        <f t="shared" si="3"/>
        <v>381000</v>
      </c>
    </row>
    <row r="34" spans="1:9" x14ac:dyDescent="0.3">
      <c r="A34" s="2">
        <v>43970</v>
      </c>
      <c r="B34" t="s">
        <v>20</v>
      </c>
      <c r="C34" t="s">
        <v>9</v>
      </c>
      <c r="D34" t="s">
        <v>21</v>
      </c>
      <c r="E34" s="3">
        <v>67</v>
      </c>
      <c r="F34" s="4">
        <f t="shared" si="0"/>
        <v>4000</v>
      </c>
      <c r="G34" s="4">
        <f t="shared" si="1"/>
        <v>3000</v>
      </c>
      <c r="H34" s="4">
        <f t="shared" si="2"/>
        <v>268000</v>
      </c>
      <c r="I34" s="5">
        <f t="shared" si="3"/>
        <v>67000</v>
      </c>
    </row>
    <row r="35" spans="1:9" x14ac:dyDescent="0.3">
      <c r="A35" s="2">
        <v>44536</v>
      </c>
      <c r="B35" t="s">
        <v>11</v>
      </c>
      <c r="C35" t="s">
        <v>12</v>
      </c>
      <c r="D35" t="s">
        <v>16</v>
      </c>
      <c r="E35" s="3">
        <v>67</v>
      </c>
      <c r="F35" s="4">
        <f t="shared" si="0"/>
        <v>1200</v>
      </c>
      <c r="G35" s="4">
        <f t="shared" si="1"/>
        <v>800</v>
      </c>
      <c r="H35" s="4">
        <f t="shared" si="2"/>
        <v>80400</v>
      </c>
      <c r="I35" s="5">
        <f t="shared" si="3"/>
        <v>26800</v>
      </c>
    </row>
    <row r="36" spans="1:9" x14ac:dyDescent="0.3">
      <c r="A36" s="2">
        <v>44069</v>
      </c>
      <c r="B36" t="s">
        <v>27</v>
      </c>
      <c r="C36" t="s">
        <v>15</v>
      </c>
      <c r="D36" t="s">
        <v>19</v>
      </c>
      <c r="E36" s="3">
        <v>149</v>
      </c>
      <c r="F36" s="4">
        <f t="shared" si="0"/>
        <v>1000</v>
      </c>
      <c r="G36" s="4">
        <f t="shared" si="1"/>
        <v>700</v>
      </c>
      <c r="H36" s="4">
        <f t="shared" si="2"/>
        <v>149000</v>
      </c>
      <c r="I36" s="5">
        <f t="shared" si="3"/>
        <v>44700</v>
      </c>
    </row>
    <row r="37" spans="1:9" x14ac:dyDescent="0.3">
      <c r="A37" s="2">
        <v>44378</v>
      </c>
      <c r="B37" t="s">
        <v>20</v>
      </c>
      <c r="C37" t="s">
        <v>18</v>
      </c>
      <c r="D37" t="s">
        <v>26</v>
      </c>
      <c r="E37" s="3">
        <v>104</v>
      </c>
      <c r="F37" s="4">
        <f t="shared" si="0"/>
        <v>600</v>
      </c>
      <c r="G37" s="4">
        <f t="shared" si="1"/>
        <v>400</v>
      </c>
      <c r="H37" s="4">
        <f t="shared" si="2"/>
        <v>62400</v>
      </c>
      <c r="I37" s="5">
        <f t="shared" si="3"/>
        <v>20800</v>
      </c>
    </row>
    <row r="38" spans="1:9" x14ac:dyDescent="0.3">
      <c r="A38" s="2">
        <v>44404</v>
      </c>
      <c r="B38" t="s">
        <v>24</v>
      </c>
      <c r="C38" t="s">
        <v>9</v>
      </c>
      <c r="D38" t="s">
        <v>26</v>
      </c>
      <c r="E38" s="3">
        <v>57</v>
      </c>
      <c r="F38" s="4">
        <f t="shared" si="0"/>
        <v>600</v>
      </c>
      <c r="G38" s="4">
        <f t="shared" si="1"/>
        <v>400</v>
      </c>
      <c r="H38" s="4">
        <f t="shared" si="2"/>
        <v>34200</v>
      </c>
      <c r="I38" s="5">
        <f t="shared" si="3"/>
        <v>11400</v>
      </c>
    </row>
    <row r="39" spans="1:9" x14ac:dyDescent="0.3">
      <c r="A39" s="2">
        <v>44109</v>
      </c>
      <c r="B39" t="s">
        <v>14</v>
      </c>
      <c r="C39" t="s">
        <v>12</v>
      </c>
      <c r="D39" t="s">
        <v>26</v>
      </c>
      <c r="E39" s="3">
        <v>90</v>
      </c>
      <c r="F39" s="4">
        <f t="shared" si="0"/>
        <v>600</v>
      </c>
      <c r="G39" s="4">
        <f t="shared" si="1"/>
        <v>400</v>
      </c>
      <c r="H39" s="4">
        <f t="shared" si="2"/>
        <v>54000</v>
      </c>
      <c r="I39" s="5">
        <f t="shared" si="3"/>
        <v>18000</v>
      </c>
    </row>
    <row r="40" spans="1:9" x14ac:dyDescent="0.3">
      <c r="A40" s="2">
        <v>44076</v>
      </c>
      <c r="B40" t="s">
        <v>22</v>
      </c>
      <c r="C40" t="s">
        <v>15</v>
      </c>
      <c r="D40" t="s">
        <v>26</v>
      </c>
      <c r="E40" s="3">
        <v>67</v>
      </c>
      <c r="F40" s="4">
        <f t="shared" si="0"/>
        <v>600</v>
      </c>
      <c r="G40" s="4">
        <f t="shared" si="1"/>
        <v>400</v>
      </c>
      <c r="H40" s="4">
        <f t="shared" si="2"/>
        <v>40200</v>
      </c>
      <c r="I40" s="5">
        <f t="shared" si="3"/>
        <v>13400</v>
      </c>
    </row>
    <row r="41" spans="1:9" x14ac:dyDescent="0.3">
      <c r="A41" s="2">
        <v>44441</v>
      </c>
      <c r="B41" t="s">
        <v>8</v>
      </c>
      <c r="C41" t="s">
        <v>18</v>
      </c>
      <c r="D41" t="s">
        <v>21</v>
      </c>
      <c r="E41" s="3">
        <v>127</v>
      </c>
      <c r="F41" s="4">
        <f t="shared" si="0"/>
        <v>4000</v>
      </c>
      <c r="G41" s="4">
        <f t="shared" si="1"/>
        <v>3000</v>
      </c>
      <c r="H41" s="4">
        <f t="shared" si="2"/>
        <v>508000</v>
      </c>
      <c r="I41" s="5">
        <f t="shared" si="3"/>
        <v>127000</v>
      </c>
    </row>
    <row r="42" spans="1:9" x14ac:dyDescent="0.3">
      <c r="A42" s="2">
        <v>44299</v>
      </c>
      <c r="B42" t="s">
        <v>22</v>
      </c>
      <c r="C42" t="s">
        <v>9</v>
      </c>
      <c r="D42" t="s">
        <v>19</v>
      </c>
      <c r="E42" s="3">
        <v>108</v>
      </c>
      <c r="F42" s="4">
        <f t="shared" si="0"/>
        <v>1000</v>
      </c>
      <c r="G42" s="4">
        <f t="shared" si="1"/>
        <v>700</v>
      </c>
      <c r="H42" s="4">
        <f t="shared" si="2"/>
        <v>108000</v>
      </c>
      <c r="I42" s="5">
        <f t="shared" si="3"/>
        <v>32400</v>
      </c>
    </row>
    <row r="43" spans="1:9" x14ac:dyDescent="0.3">
      <c r="A43" s="2">
        <v>44322</v>
      </c>
      <c r="B43" t="s">
        <v>14</v>
      </c>
      <c r="C43" t="s">
        <v>12</v>
      </c>
      <c r="D43" t="s">
        <v>13</v>
      </c>
      <c r="E43" s="3">
        <v>66</v>
      </c>
      <c r="F43" s="4">
        <f t="shared" si="0"/>
        <v>3500</v>
      </c>
      <c r="G43" s="4">
        <f t="shared" si="1"/>
        <v>2500</v>
      </c>
      <c r="H43" s="4">
        <f t="shared" si="2"/>
        <v>231000</v>
      </c>
      <c r="I43" s="5">
        <f t="shared" si="3"/>
        <v>66000</v>
      </c>
    </row>
    <row r="44" spans="1:9" x14ac:dyDescent="0.3">
      <c r="A44" s="2">
        <v>44211</v>
      </c>
      <c r="B44" t="s">
        <v>8</v>
      </c>
      <c r="C44" t="s">
        <v>18</v>
      </c>
      <c r="D44" t="s">
        <v>10</v>
      </c>
      <c r="E44" s="3">
        <v>78</v>
      </c>
      <c r="F44" s="4">
        <f t="shared" si="0"/>
        <v>6000</v>
      </c>
      <c r="G44" s="4">
        <f t="shared" si="1"/>
        <v>4000</v>
      </c>
      <c r="H44" s="4">
        <f t="shared" si="2"/>
        <v>468000</v>
      </c>
      <c r="I44" s="5">
        <f t="shared" si="3"/>
        <v>156000</v>
      </c>
    </row>
    <row r="45" spans="1:9" x14ac:dyDescent="0.3">
      <c r="A45" s="2">
        <v>44070</v>
      </c>
      <c r="B45" t="s">
        <v>24</v>
      </c>
      <c r="C45" t="s">
        <v>15</v>
      </c>
      <c r="D45" t="s">
        <v>19</v>
      </c>
      <c r="E45" s="3">
        <v>69</v>
      </c>
      <c r="F45" s="4">
        <f t="shared" si="0"/>
        <v>1000</v>
      </c>
      <c r="G45" s="4">
        <f t="shared" si="1"/>
        <v>700</v>
      </c>
      <c r="H45" s="4">
        <f t="shared" si="2"/>
        <v>69000</v>
      </c>
      <c r="I45" s="5">
        <f t="shared" si="3"/>
        <v>20700</v>
      </c>
    </row>
    <row r="46" spans="1:9" x14ac:dyDescent="0.3">
      <c r="A46" s="2">
        <v>44232</v>
      </c>
      <c r="B46" t="s">
        <v>20</v>
      </c>
      <c r="C46" t="s">
        <v>9</v>
      </c>
      <c r="D46" t="s">
        <v>16</v>
      </c>
      <c r="E46" s="3">
        <v>59</v>
      </c>
      <c r="F46" s="4">
        <f t="shared" si="0"/>
        <v>1200</v>
      </c>
      <c r="G46" s="4">
        <f t="shared" si="1"/>
        <v>800</v>
      </c>
      <c r="H46" s="4">
        <f t="shared" si="2"/>
        <v>70800</v>
      </c>
      <c r="I46" s="5">
        <f t="shared" si="3"/>
        <v>23600</v>
      </c>
    </row>
    <row r="47" spans="1:9" x14ac:dyDescent="0.3">
      <c r="A47" s="2">
        <v>44517</v>
      </c>
      <c r="B47" t="s">
        <v>27</v>
      </c>
      <c r="C47" t="s">
        <v>15</v>
      </c>
      <c r="D47" t="s">
        <v>26</v>
      </c>
      <c r="E47" s="3">
        <v>109</v>
      </c>
      <c r="F47" s="4">
        <f t="shared" si="0"/>
        <v>600</v>
      </c>
      <c r="G47" s="4">
        <f t="shared" si="1"/>
        <v>400</v>
      </c>
      <c r="H47" s="4">
        <f t="shared" si="2"/>
        <v>65400</v>
      </c>
      <c r="I47" s="5">
        <f>H47-(G47*E47)</f>
        <v>21800</v>
      </c>
    </row>
    <row r="48" spans="1:9" x14ac:dyDescent="0.3">
      <c r="A48" s="2">
        <v>44193</v>
      </c>
      <c r="B48" t="s">
        <v>25</v>
      </c>
      <c r="C48" t="s">
        <v>12</v>
      </c>
      <c r="D48" t="s">
        <v>21</v>
      </c>
      <c r="E48" s="3">
        <v>61</v>
      </c>
      <c r="F48" s="4">
        <f t="shared" si="0"/>
        <v>4000</v>
      </c>
      <c r="G48" s="4">
        <f t="shared" si="1"/>
        <v>3000</v>
      </c>
      <c r="H48" s="4">
        <f t="shared" si="2"/>
        <v>244000</v>
      </c>
      <c r="I48" s="5">
        <f t="shared" si="3"/>
        <v>61000</v>
      </c>
    </row>
    <row r="49" spans="1:9" x14ac:dyDescent="0.3">
      <c r="A49" s="2">
        <v>44496</v>
      </c>
      <c r="B49" t="s">
        <v>20</v>
      </c>
      <c r="C49" t="s">
        <v>18</v>
      </c>
      <c r="D49" t="s">
        <v>26</v>
      </c>
      <c r="E49" s="3">
        <v>130</v>
      </c>
      <c r="F49" s="4">
        <f t="shared" si="0"/>
        <v>600</v>
      </c>
      <c r="G49" s="4">
        <f t="shared" si="1"/>
        <v>400</v>
      </c>
      <c r="H49" s="4">
        <f t="shared" si="2"/>
        <v>78000</v>
      </c>
      <c r="I49" s="5">
        <f t="shared" si="3"/>
        <v>26000</v>
      </c>
    </row>
    <row r="50" spans="1:9" x14ac:dyDescent="0.3">
      <c r="A50" s="2">
        <v>44502</v>
      </c>
      <c r="B50" t="s">
        <v>17</v>
      </c>
      <c r="C50" t="s">
        <v>15</v>
      </c>
      <c r="D50" t="s">
        <v>13</v>
      </c>
      <c r="E50" s="3">
        <v>60</v>
      </c>
      <c r="F50" s="4">
        <f t="shared" si="0"/>
        <v>3500</v>
      </c>
      <c r="G50" s="4">
        <f t="shared" si="1"/>
        <v>2500</v>
      </c>
      <c r="H50" s="4">
        <f t="shared" si="2"/>
        <v>210000</v>
      </c>
      <c r="I50" s="5">
        <f t="shared" si="3"/>
        <v>60000</v>
      </c>
    </row>
    <row r="51" spans="1:9" x14ac:dyDescent="0.3">
      <c r="A51" s="2">
        <v>43958</v>
      </c>
      <c r="B51" t="s">
        <v>11</v>
      </c>
      <c r="C51" t="s">
        <v>12</v>
      </c>
      <c r="D51" t="s">
        <v>10</v>
      </c>
      <c r="E51" s="3">
        <v>73</v>
      </c>
      <c r="F51" s="4">
        <f t="shared" si="0"/>
        <v>6000</v>
      </c>
      <c r="G51" s="4">
        <f t="shared" si="1"/>
        <v>4000</v>
      </c>
      <c r="H51" s="4">
        <f t="shared" si="2"/>
        <v>438000</v>
      </c>
      <c r="I51" s="5">
        <f t="shared" si="3"/>
        <v>146000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E158-B187-4378-9269-5F3145A1129B}">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538A7-8384-4585-9C5B-FD33BE2FD6AE}">
  <dimension ref="A1:Q77"/>
  <sheetViews>
    <sheetView topLeftCell="A64" workbookViewId="0">
      <selection activeCell="J81" sqref="J81"/>
    </sheetView>
  </sheetViews>
  <sheetFormatPr defaultRowHeight="14.4" x14ac:dyDescent="0.3"/>
  <cols>
    <col min="1" max="1" width="20.44140625" customWidth="1"/>
    <col min="4" max="4" width="4" bestFit="1" customWidth="1"/>
    <col min="7" max="8" width="9.77734375" customWidth="1"/>
    <col min="11" max="11" width="13.21875" customWidth="1"/>
    <col min="13" max="13" width="10.33203125" bestFit="1" customWidth="1"/>
    <col min="14" max="14" width="19.33203125" bestFit="1" customWidth="1"/>
    <col min="17" max="17" width="10.33203125" bestFit="1" customWidth="1"/>
  </cols>
  <sheetData>
    <row r="1" spans="1:14" s="9" customFormat="1" x14ac:dyDescent="0.3">
      <c r="A1" s="9" t="s">
        <v>37</v>
      </c>
      <c r="B1" s="9" t="s">
        <v>37</v>
      </c>
      <c r="C1" s="9" t="s">
        <v>37</v>
      </c>
      <c r="D1" s="9">
        <v>222</v>
      </c>
    </row>
    <row r="2" spans="1:14" ht="21" customHeight="1" x14ac:dyDescent="0.3">
      <c r="D2" s="9">
        <v>223</v>
      </c>
      <c r="K2" s="8">
        <v>45272</v>
      </c>
      <c r="N2" s="11">
        <v>6777777777</v>
      </c>
    </row>
    <row r="3" spans="1:14" x14ac:dyDescent="0.3">
      <c r="D3" s="9">
        <v>233</v>
      </c>
      <c r="K3" s="8">
        <v>45273</v>
      </c>
    </row>
    <row r="4" spans="1:14" x14ac:dyDescent="0.3">
      <c r="K4" s="8">
        <v>45275</v>
      </c>
      <c r="N4" s="9" t="s">
        <v>38</v>
      </c>
    </row>
    <row r="5" spans="1:14" x14ac:dyDescent="0.3">
      <c r="K5" s="8">
        <v>45276</v>
      </c>
      <c r="M5" s="10"/>
    </row>
    <row r="6" spans="1:14" x14ac:dyDescent="0.3">
      <c r="K6" s="8">
        <v>45277</v>
      </c>
    </row>
    <row r="7" spans="1:14" x14ac:dyDescent="0.3">
      <c r="A7" t="s">
        <v>40</v>
      </c>
      <c r="C7" s="18" t="s">
        <v>42</v>
      </c>
      <c r="D7" s="18"/>
      <c r="E7" s="18"/>
      <c r="F7" s="18"/>
      <c r="G7" s="18"/>
      <c r="H7" s="12"/>
      <c r="K7" s="8">
        <v>45278</v>
      </c>
    </row>
    <row r="8" spans="1:14" x14ac:dyDescent="0.3">
      <c r="B8">
        <v>2234</v>
      </c>
      <c r="C8">
        <v>2234</v>
      </c>
      <c r="K8" s="8">
        <v>45279</v>
      </c>
    </row>
    <row r="9" spans="1:14" x14ac:dyDescent="0.3">
      <c r="K9" s="8">
        <v>45280</v>
      </c>
    </row>
    <row r="10" spans="1:14" x14ac:dyDescent="0.3">
      <c r="K10" s="8">
        <v>45281</v>
      </c>
    </row>
    <row r="11" spans="1:14" x14ac:dyDescent="0.3">
      <c r="K11" s="8">
        <v>45282</v>
      </c>
    </row>
    <row r="12" spans="1:14" x14ac:dyDescent="0.3">
      <c r="K12" s="8">
        <v>45283</v>
      </c>
    </row>
    <row r="14" spans="1:14" x14ac:dyDescent="0.3">
      <c r="K14" s="8" t="s">
        <v>39</v>
      </c>
    </row>
    <row r="15" spans="1:14" x14ac:dyDescent="0.3">
      <c r="I15">
        <v>556</v>
      </c>
      <c r="M15" s="18" t="s">
        <v>41</v>
      </c>
      <c r="N15" s="18"/>
    </row>
    <row r="16" spans="1:14" x14ac:dyDescent="0.3">
      <c r="I16">
        <v>334</v>
      </c>
      <c r="M16">
        <v>2223</v>
      </c>
    </row>
    <row r="17" spans="9:17" x14ac:dyDescent="0.3">
      <c r="I17">
        <v>445</v>
      </c>
    </row>
    <row r="18" spans="9:17" x14ac:dyDescent="0.3">
      <c r="I18">
        <v>654</v>
      </c>
    </row>
    <row r="19" spans="9:17" x14ac:dyDescent="0.3">
      <c r="I19">
        <v>445</v>
      </c>
    </row>
    <row r="30" spans="9:17" x14ac:dyDescent="0.3">
      <c r="Q30" s="8">
        <v>45284</v>
      </c>
    </row>
    <row r="46" spans="7:13" x14ac:dyDescent="0.3">
      <c r="G46" s="13" t="s">
        <v>43</v>
      </c>
      <c r="H46" s="13"/>
      <c r="I46" s="14">
        <v>2</v>
      </c>
      <c r="J46" s="14">
        <v>4</v>
      </c>
      <c r="K46" s="14">
        <v>6</v>
      </c>
      <c r="L46" s="14">
        <v>8</v>
      </c>
      <c r="M46" s="14">
        <v>10</v>
      </c>
    </row>
    <row r="47" spans="7:13" x14ac:dyDescent="0.3">
      <c r="G47" s="14">
        <v>2</v>
      </c>
      <c r="H47" s="14"/>
      <c r="I47">
        <f>$G47*I$46</f>
        <v>4</v>
      </c>
      <c r="J47">
        <f t="shared" ref="J47:M51" si="0">$G47*J$46</f>
        <v>8</v>
      </c>
      <c r="K47">
        <f t="shared" si="0"/>
        <v>12</v>
      </c>
      <c r="L47">
        <f t="shared" si="0"/>
        <v>16</v>
      </c>
      <c r="M47">
        <f t="shared" si="0"/>
        <v>20</v>
      </c>
    </row>
    <row r="48" spans="7:13" x14ac:dyDescent="0.3">
      <c r="G48" s="14">
        <v>4</v>
      </c>
      <c r="H48" s="14"/>
      <c r="I48">
        <f t="shared" ref="I48:I51" si="1">$G48*I$46</f>
        <v>8</v>
      </c>
      <c r="J48">
        <f t="shared" si="0"/>
        <v>16</v>
      </c>
      <c r="K48">
        <f t="shared" si="0"/>
        <v>24</v>
      </c>
      <c r="L48">
        <f t="shared" si="0"/>
        <v>32</v>
      </c>
      <c r="M48">
        <f t="shared" si="0"/>
        <v>40</v>
      </c>
    </row>
    <row r="49" spans="7:13" x14ac:dyDescent="0.3">
      <c r="G49" s="14">
        <v>6</v>
      </c>
      <c r="H49" s="14"/>
      <c r="I49">
        <f t="shared" si="1"/>
        <v>12</v>
      </c>
      <c r="J49">
        <f t="shared" si="0"/>
        <v>24</v>
      </c>
      <c r="K49">
        <f t="shared" si="0"/>
        <v>36</v>
      </c>
      <c r="L49">
        <f t="shared" si="0"/>
        <v>48</v>
      </c>
      <c r="M49">
        <f t="shared" si="0"/>
        <v>60</v>
      </c>
    </row>
    <row r="50" spans="7:13" x14ac:dyDescent="0.3">
      <c r="G50" s="14">
        <v>8</v>
      </c>
      <c r="H50" s="14"/>
      <c r="I50">
        <f t="shared" si="1"/>
        <v>16</v>
      </c>
      <c r="J50">
        <f t="shared" si="0"/>
        <v>32</v>
      </c>
      <c r="K50">
        <f t="shared" si="0"/>
        <v>48</v>
      </c>
      <c r="L50">
        <f t="shared" si="0"/>
        <v>64</v>
      </c>
      <c r="M50">
        <f t="shared" si="0"/>
        <v>80</v>
      </c>
    </row>
    <row r="51" spans="7:13" x14ac:dyDescent="0.3">
      <c r="G51" s="14">
        <v>10</v>
      </c>
      <c r="H51" s="14"/>
      <c r="I51">
        <f t="shared" si="1"/>
        <v>20</v>
      </c>
      <c r="J51">
        <f t="shared" si="0"/>
        <v>40</v>
      </c>
      <c r="K51">
        <f t="shared" si="0"/>
        <v>60</v>
      </c>
      <c r="L51">
        <f t="shared" si="0"/>
        <v>80</v>
      </c>
      <c r="M51">
        <f t="shared" si="0"/>
        <v>100</v>
      </c>
    </row>
    <row r="56" spans="7:13" x14ac:dyDescent="0.3">
      <c r="L56">
        <v>2</v>
      </c>
    </row>
    <row r="57" spans="7:13" x14ac:dyDescent="0.3">
      <c r="L57">
        <v>3</v>
      </c>
    </row>
    <row r="58" spans="7:13" x14ac:dyDescent="0.3">
      <c r="L58">
        <v>4</v>
      </c>
    </row>
    <row r="59" spans="7:13" x14ac:dyDescent="0.3">
      <c r="L59">
        <v>5</v>
      </c>
    </row>
    <row r="60" spans="7:13" x14ac:dyDescent="0.3">
      <c r="L60">
        <v>6</v>
      </c>
    </row>
    <row r="61" spans="7:13" x14ac:dyDescent="0.3">
      <c r="L61">
        <v>7</v>
      </c>
    </row>
    <row r="62" spans="7:13" x14ac:dyDescent="0.3">
      <c r="L62">
        <v>8</v>
      </c>
    </row>
    <row r="63" spans="7:13" x14ac:dyDescent="0.3">
      <c r="L63">
        <v>9</v>
      </c>
    </row>
    <row r="64" spans="7:13" x14ac:dyDescent="0.3">
      <c r="L64">
        <v>10</v>
      </c>
    </row>
    <row r="71" spans="7:15" x14ac:dyDescent="0.3">
      <c r="G71" s="15" t="s">
        <v>44</v>
      </c>
      <c r="H71" s="15" t="s">
        <v>3</v>
      </c>
      <c r="I71" s="15" t="s">
        <v>45</v>
      </c>
      <c r="J71" s="15" t="s">
        <v>46</v>
      </c>
      <c r="K71" s="15" t="s">
        <v>47</v>
      </c>
      <c r="L71" s="15" t="s">
        <v>48</v>
      </c>
      <c r="O71" s="16">
        <v>0.05</v>
      </c>
    </row>
    <row r="72" spans="7:15" x14ac:dyDescent="0.3">
      <c r="G72">
        <v>334</v>
      </c>
      <c r="H72" t="s">
        <v>49</v>
      </c>
      <c r="I72">
        <v>4</v>
      </c>
      <c r="J72">
        <v>202</v>
      </c>
      <c r="K72">
        <f>SUM(I72*J72)</f>
        <v>808</v>
      </c>
      <c r="L72">
        <f>K72*$O$71</f>
        <v>40.400000000000006</v>
      </c>
    </row>
    <row r="73" spans="7:15" x14ac:dyDescent="0.3">
      <c r="G73">
        <v>345</v>
      </c>
      <c r="H73" t="s">
        <v>50</v>
      </c>
      <c r="I73">
        <v>5</v>
      </c>
      <c r="J73">
        <v>234</v>
      </c>
      <c r="K73">
        <f t="shared" ref="K73:K77" si="2">SUM(I73*J73)</f>
        <v>1170</v>
      </c>
      <c r="L73">
        <f t="shared" ref="L73:L77" si="3">K73*$O$71</f>
        <v>58.5</v>
      </c>
    </row>
    <row r="74" spans="7:15" x14ac:dyDescent="0.3">
      <c r="G74">
        <v>346</v>
      </c>
      <c r="H74" t="s">
        <v>51</v>
      </c>
      <c r="I74">
        <v>7</v>
      </c>
      <c r="J74">
        <v>231</v>
      </c>
      <c r="K74">
        <f t="shared" si="2"/>
        <v>1617</v>
      </c>
      <c r="L74">
        <f t="shared" si="3"/>
        <v>80.850000000000009</v>
      </c>
    </row>
    <row r="75" spans="7:15" x14ac:dyDescent="0.3">
      <c r="G75">
        <v>347</v>
      </c>
      <c r="H75" t="s">
        <v>52</v>
      </c>
      <c r="I75">
        <v>8</v>
      </c>
      <c r="J75">
        <v>567</v>
      </c>
      <c r="K75">
        <f t="shared" si="2"/>
        <v>4536</v>
      </c>
      <c r="L75">
        <f t="shared" si="3"/>
        <v>226.8</v>
      </c>
    </row>
    <row r="76" spans="7:15" x14ac:dyDescent="0.3">
      <c r="G76">
        <v>348</v>
      </c>
      <c r="H76" t="s">
        <v>53</v>
      </c>
      <c r="I76">
        <v>5</v>
      </c>
      <c r="J76">
        <v>456</v>
      </c>
      <c r="K76">
        <f t="shared" si="2"/>
        <v>2280</v>
      </c>
      <c r="L76">
        <f t="shared" si="3"/>
        <v>114</v>
      </c>
    </row>
    <row r="77" spans="7:15" x14ac:dyDescent="0.3">
      <c r="G77">
        <v>349</v>
      </c>
      <c r="H77" t="s">
        <v>54</v>
      </c>
      <c r="I77">
        <v>7</v>
      </c>
      <c r="J77">
        <v>556</v>
      </c>
      <c r="K77">
        <f t="shared" si="2"/>
        <v>3892</v>
      </c>
      <c r="L77">
        <f t="shared" si="3"/>
        <v>194.60000000000002</v>
      </c>
    </row>
  </sheetData>
  <mergeCells count="2">
    <mergeCell ref="M15:N15"/>
    <mergeCell ref="C7:G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2AA0-7B6A-479A-82FE-F4B83D43506B}">
  <dimension ref="G7:H13"/>
  <sheetViews>
    <sheetView workbookViewId="0">
      <selection activeCell="G8" sqref="G8"/>
    </sheetView>
  </sheetViews>
  <sheetFormatPr defaultRowHeight="14.4" x14ac:dyDescent="0.3"/>
  <sheetData>
    <row r="7" spans="7:8" x14ac:dyDescent="0.3">
      <c r="G7">
        <f>AVERAGE(sale_data)</f>
        <v>486.8</v>
      </c>
    </row>
    <row r="11" spans="7:8" x14ac:dyDescent="0.3">
      <c r="H11">
        <f>SUM(sales_data)</f>
        <v>0</v>
      </c>
    </row>
    <row r="13" spans="7:8" x14ac:dyDescent="0.3">
      <c r="H13">
        <f>SUM(Sheet6!G15:G19)</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Dashboard</vt:lpstr>
      <vt:lpstr>Pivot Table</vt:lpstr>
      <vt:lpstr>SalesData</vt:lpstr>
      <vt:lpstr>Sheet5</vt:lpstr>
      <vt:lpstr>Sheet4</vt:lpstr>
      <vt:lpstr>Sheet6</vt:lpstr>
      <vt:lpstr>sale_data</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Indhu SI</cp:lastModifiedBy>
  <dcterms:created xsi:type="dcterms:W3CDTF">2024-05-30T14:35:02Z</dcterms:created>
  <dcterms:modified xsi:type="dcterms:W3CDTF">2026-03-08T11:13:52Z</dcterms:modified>
</cp:coreProperties>
</file>